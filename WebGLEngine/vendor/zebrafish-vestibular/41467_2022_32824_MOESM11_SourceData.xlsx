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marthabagnall/Marfa/Manuscripts/Connectome paper/Source Data/"/>
    </mc:Choice>
  </mc:AlternateContent>
  <xr:revisionPtr revIDLastSave="0" documentId="13_ncr:1_{65C43CFA-E1CE-7240-A429-E3B30A986C18}" xr6:coauthVersionLast="46" xr6:coauthVersionMax="46" xr10:uidLastSave="{00000000-0000-0000-0000-000000000000}"/>
  <bookViews>
    <workbookView xWindow="7400" yWindow="4020" windowWidth="36780" windowHeight="22200" xr2:uid="{00000000-000D-0000-FFFF-FFFF00000000}"/>
  </bookViews>
  <sheets>
    <sheet name="Example image links" sheetId="12" r:id="rId1"/>
    <sheet name="Figs. 2b, 5b-d" sheetId="1" r:id="rId2"/>
    <sheet name="Fig 2c" sheetId="3" r:id="rId3"/>
    <sheet name="Fig 2f" sheetId="4" r:id="rId4"/>
    <sheet name="Fig. 2g, 5f, g, h" sheetId="5" r:id="rId5"/>
    <sheet name="Fig 2h" sheetId="6" r:id="rId6"/>
    <sheet name="Fig 3d, 4a,b,c" sheetId="7" r:id="rId7"/>
    <sheet name="Fig 3g" sheetId="8" r:id="rId8"/>
    <sheet name="Fig 3h" sheetId="9" r:id="rId9"/>
    <sheet name="Fig. 5i, j" sheetId="10" r:id="rId10"/>
    <sheet name="Fig. 6b, c" sheetId="11" r:id="rId11"/>
  </sheets>
  <definedNames>
    <definedName name="aff_similarity_quantify" localSheetId="5">'Fig 2h'!$B$4:$D$13</definedName>
    <definedName name="hc_similarity_quantify" localSheetId="2">'Fig 2c'!$B$3:$D$12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D26" i="10" l="1"/>
  <c r="DC26" i="10"/>
  <c r="DB26" i="10"/>
  <c r="DA26" i="10"/>
  <c r="CZ26" i="10"/>
  <c r="CY26" i="10"/>
  <c r="CX26" i="10"/>
  <c r="CW26" i="10"/>
  <c r="CV26" i="10"/>
  <c r="CU26" i="10"/>
  <c r="CT26" i="10"/>
  <c r="CS26" i="10"/>
  <c r="CR26" i="10"/>
  <c r="CQ26" i="10"/>
  <c r="CP26" i="10"/>
  <c r="CO26" i="10"/>
  <c r="CN26" i="10"/>
  <c r="CM26" i="10"/>
  <c r="CL26" i="10"/>
  <c r="CK26" i="10"/>
  <c r="CJ26" i="10"/>
  <c r="CI26" i="10"/>
  <c r="CH26" i="10"/>
  <c r="CG26" i="10"/>
  <c r="CF26" i="10"/>
  <c r="CE26" i="10"/>
  <c r="CD26" i="10"/>
  <c r="CC26" i="10"/>
  <c r="CB26" i="10"/>
  <c r="CA26" i="10"/>
  <c r="BZ26" i="10"/>
  <c r="BY26" i="10"/>
  <c r="BX26" i="10"/>
  <c r="BW26" i="10"/>
  <c r="BV26" i="10"/>
  <c r="BU26" i="10"/>
  <c r="BT26" i="10"/>
  <c r="BS26" i="10"/>
  <c r="BR26" i="10"/>
  <c r="BQ26" i="10"/>
  <c r="BP26" i="10"/>
  <c r="BO26" i="10"/>
  <c r="BN26" i="10"/>
  <c r="BM26" i="10"/>
  <c r="BL26" i="10"/>
  <c r="BK26" i="10"/>
  <c r="BJ26" i="10"/>
  <c r="BI26" i="10"/>
  <c r="BH26" i="10"/>
  <c r="BG26" i="10"/>
  <c r="BF26" i="10"/>
  <c r="BE26" i="10"/>
  <c r="BD26" i="10"/>
  <c r="BC26" i="10"/>
  <c r="BB26" i="10"/>
  <c r="BA26" i="10"/>
  <c r="AZ26" i="10"/>
  <c r="AY26" i="10"/>
  <c r="AX26" i="10"/>
  <c r="AW26" i="10"/>
  <c r="AV26" i="10"/>
  <c r="AU26" i="10"/>
  <c r="AT26" i="10"/>
  <c r="AS26" i="10"/>
  <c r="AR26" i="10"/>
  <c r="AQ26" i="10"/>
  <c r="AP26" i="10"/>
  <c r="AO26" i="10"/>
  <c r="AN26" i="10"/>
  <c r="AL26" i="10"/>
  <c r="AK26" i="10"/>
  <c r="AJ26" i="10"/>
  <c r="AI26" i="10"/>
  <c r="AH26" i="10"/>
  <c r="AG26" i="10"/>
  <c r="AF26" i="10"/>
  <c r="AE26" i="10"/>
  <c r="AD26" i="10"/>
  <c r="AC26" i="10"/>
  <c r="AB26" i="10"/>
  <c r="AA26" i="10"/>
  <c r="Z26" i="10"/>
  <c r="Y26" i="10"/>
  <c r="X26" i="10"/>
  <c r="W26" i="10"/>
  <c r="V26" i="10"/>
  <c r="U26" i="10"/>
  <c r="T26" i="10"/>
  <c r="S26" i="10"/>
  <c r="S31" i="10" s="1"/>
  <c r="DD25" i="10"/>
  <c r="DC25" i="10"/>
  <c r="DB25" i="10"/>
  <c r="DA25" i="10"/>
  <c r="CZ25" i="10"/>
  <c r="CY25" i="10"/>
  <c r="CX25" i="10"/>
  <c r="CW25" i="10"/>
  <c r="CV25" i="10"/>
  <c r="CU25" i="10"/>
  <c r="CT25" i="10"/>
  <c r="CS25" i="10"/>
  <c r="CR25" i="10"/>
  <c r="CQ25" i="10"/>
  <c r="CP25" i="10"/>
  <c r="CO25" i="10"/>
  <c r="CN25" i="10"/>
  <c r="CM25" i="10"/>
  <c r="CL25" i="10"/>
  <c r="CK25" i="10"/>
  <c r="CJ25" i="10"/>
  <c r="CI25" i="10"/>
  <c r="CH25" i="10"/>
  <c r="CG25" i="10"/>
  <c r="CF25" i="10"/>
  <c r="CE25" i="10"/>
  <c r="CD25" i="10"/>
  <c r="CC25" i="10"/>
  <c r="CB25" i="10"/>
  <c r="CA25" i="10"/>
  <c r="BZ25" i="10"/>
  <c r="BY25" i="10"/>
  <c r="BX25" i="10"/>
  <c r="BW25" i="10"/>
  <c r="BV25" i="10"/>
  <c r="BU25" i="10"/>
  <c r="BT25" i="10"/>
  <c r="BS25" i="10"/>
  <c r="BR25" i="10"/>
  <c r="BQ25" i="10"/>
  <c r="BP25" i="10"/>
  <c r="BO25" i="10"/>
  <c r="BN25" i="10"/>
  <c r="BM25" i="10"/>
  <c r="BL25" i="10"/>
  <c r="BK25" i="10"/>
  <c r="BJ25" i="10"/>
  <c r="BI25" i="10"/>
  <c r="BH25" i="10"/>
  <c r="BG25" i="10"/>
  <c r="BF25" i="10"/>
  <c r="BE25" i="10"/>
  <c r="BD25" i="10"/>
  <c r="BC25" i="10"/>
  <c r="BB25" i="10"/>
  <c r="BA25" i="10"/>
  <c r="AZ25" i="10"/>
  <c r="AY25" i="10"/>
  <c r="AX25" i="10"/>
  <c r="AW25" i="10"/>
  <c r="AV25" i="10"/>
  <c r="AU25" i="10"/>
  <c r="AT25" i="10"/>
  <c r="AS25" i="10"/>
  <c r="AR25" i="10"/>
  <c r="AQ25" i="10"/>
  <c r="AP25" i="10"/>
  <c r="AO25" i="10"/>
  <c r="AN25" i="10"/>
  <c r="AL25" i="10"/>
  <c r="AK25" i="10"/>
  <c r="AJ25" i="10"/>
  <c r="AI25" i="10"/>
  <c r="AH25" i="10"/>
  <c r="AG25" i="10"/>
  <c r="AF25" i="10"/>
  <c r="AE25" i="10"/>
  <c r="AD25" i="10"/>
  <c r="AC25" i="10"/>
  <c r="AB25" i="10"/>
  <c r="AA25" i="10"/>
  <c r="Z25" i="10"/>
  <c r="Y25" i="10"/>
  <c r="X25" i="10"/>
  <c r="W25" i="10"/>
  <c r="V25" i="10"/>
  <c r="U25" i="10"/>
  <c r="T25" i="10"/>
  <c r="S25" i="10"/>
  <c r="S30" i="10" s="1"/>
  <c r="DD24" i="10"/>
  <c r="DC24" i="10"/>
  <c r="DB24" i="10"/>
  <c r="DA24" i="10"/>
  <c r="CZ24" i="10"/>
  <c r="CY24" i="10"/>
  <c r="CX24" i="10"/>
  <c r="CW24" i="10"/>
  <c r="CV24" i="10"/>
  <c r="CU24" i="10"/>
  <c r="CT24" i="10"/>
  <c r="CS24" i="10"/>
  <c r="CR24" i="10"/>
  <c r="CQ24" i="10"/>
  <c r="CP24" i="10"/>
  <c r="CO24" i="10"/>
  <c r="CN24" i="10"/>
  <c r="CM24" i="10"/>
  <c r="CL24" i="10"/>
  <c r="CK24" i="10"/>
  <c r="CJ24" i="10"/>
  <c r="CI24" i="10"/>
  <c r="CH24" i="10"/>
  <c r="CG24" i="10"/>
  <c r="CF24" i="10"/>
  <c r="CE24" i="10"/>
  <c r="CD24" i="10"/>
  <c r="CC24" i="10"/>
  <c r="CB24" i="10"/>
  <c r="CA24" i="10"/>
  <c r="BZ24" i="10"/>
  <c r="BY24" i="10"/>
  <c r="BX24" i="10"/>
  <c r="BW24" i="10"/>
  <c r="BV24" i="10"/>
  <c r="BU24" i="10"/>
  <c r="BT24" i="10"/>
  <c r="BS24" i="10"/>
  <c r="BR24" i="10"/>
  <c r="BQ24" i="10"/>
  <c r="BP24" i="10"/>
  <c r="BO24" i="10"/>
  <c r="BN24" i="10"/>
  <c r="BM24" i="10"/>
  <c r="BL24" i="10"/>
  <c r="BK24" i="10"/>
  <c r="BJ24" i="10"/>
  <c r="BI24" i="10"/>
  <c r="BH24" i="10"/>
  <c r="BG24" i="10"/>
  <c r="BF24" i="10"/>
  <c r="BE24" i="10"/>
  <c r="BD24" i="10"/>
  <c r="BC24" i="10"/>
  <c r="BB24" i="10"/>
  <c r="BA24" i="10"/>
  <c r="AZ24" i="10"/>
  <c r="AY24" i="10"/>
  <c r="AX24" i="10"/>
  <c r="AW24" i="10"/>
  <c r="AV24" i="10"/>
  <c r="AU24" i="10"/>
  <c r="AT24" i="10"/>
  <c r="AS24" i="10"/>
  <c r="AR24" i="10"/>
  <c r="AQ24" i="10"/>
  <c r="AP24" i="10"/>
  <c r="AO24" i="10"/>
  <c r="AN24" i="10"/>
  <c r="AL24" i="10"/>
  <c r="AK24" i="10"/>
  <c r="AJ24" i="10"/>
  <c r="AI24" i="10"/>
  <c r="AH24" i="10"/>
  <c r="AG24" i="10"/>
  <c r="AF24" i="10"/>
  <c r="AE24" i="10"/>
  <c r="AD24" i="10"/>
  <c r="AC24" i="10"/>
  <c r="AB24" i="10"/>
  <c r="AA24" i="10"/>
  <c r="Z24" i="10"/>
  <c r="Y24" i="10"/>
  <c r="X24" i="10"/>
  <c r="W24" i="10"/>
  <c r="V24" i="10"/>
  <c r="U24" i="10"/>
  <c r="T24" i="10"/>
  <c r="S24" i="10"/>
  <c r="S29" i="10" s="1"/>
  <c r="R26" i="10"/>
  <c r="Q26" i="10"/>
  <c r="P26" i="10"/>
  <c r="O26" i="10"/>
  <c r="N26" i="10"/>
  <c r="M26" i="10"/>
  <c r="L26" i="10"/>
  <c r="K26" i="10"/>
  <c r="J26" i="10"/>
  <c r="I26" i="10"/>
  <c r="H26" i="10"/>
  <c r="G26" i="10"/>
  <c r="F26" i="10"/>
  <c r="E26" i="10"/>
  <c r="D26" i="10"/>
  <c r="R25" i="10"/>
  <c r="Q25" i="10"/>
  <c r="P25" i="10"/>
  <c r="O25" i="10"/>
  <c r="N25" i="10"/>
  <c r="M25" i="10"/>
  <c r="L25" i="10"/>
  <c r="K25" i="10"/>
  <c r="J25" i="10"/>
  <c r="I25" i="10"/>
  <c r="H25" i="10"/>
  <c r="G25" i="10"/>
  <c r="F25" i="10"/>
  <c r="E25" i="10"/>
  <c r="D25" i="10"/>
  <c r="R24" i="10"/>
  <c r="Q24" i="10"/>
  <c r="P24" i="10"/>
  <c r="O24" i="10"/>
  <c r="N24" i="10"/>
  <c r="M24" i="10"/>
  <c r="L24" i="10"/>
  <c r="K24" i="10"/>
  <c r="J24" i="10"/>
  <c r="I24" i="10"/>
  <c r="H24" i="10"/>
  <c r="G24" i="10"/>
  <c r="F24" i="10"/>
  <c r="E24" i="10"/>
  <c r="D24" i="10"/>
  <c r="C26" i="10"/>
  <c r="R31" i="10" s="1"/>
  <c r="C25" i="10"/>
  <c r="R30" i="10" s="1"/>
  <c r="C24" i="10"/>
  <c r="R29" i="10" s="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K59" i="8"/>
  <c r="H59" i="8"/>
  <c r="G59" i="8"/>
  <c r="J59" i="8" s="1"/>
  <c r="K58" i="8"/>
  <c r="H58" i="8"/>
  <c r="G58" i="8"/>
  <c r="J58" i="8" s="1"/>
  <c r="K57" i="8"/>
  <c r="H57" i="8"/>
  <c r="G57" i="8"/>
  <c r="J57" i="8" s="1"/>
  <c r="K56" i="8"/>
  <c r="L56" i="8" s="1"/>
  <c r="H56" i="8"/>
  <c r="G56" i="8"/>
  <c r="J56" i="8" s="1"/>
  <c r="K55" i="8"/>
  <c r="J55" i="8"/>
  <c r="H55" i="8"/>
  <c r="G55" i="8"/>
  <c r="K54" i="8"/>
  <c r="L54" i="8" s="1"/>
  <c r="H54" i="8"/>
  <c r="G54" i="8"/>
  <c r="K53" i="8"/>
  <c r="J53" i="8"/>
  <c r="H53" i="8"/>
  <c r="G53" i="8"/>
  <c r="K52" i="8"/>
  <c r="H52" i="8"/>
  <c r="G52" i="8"/>
  <c r="J52" i="8" s="1"/>
  <c r="K51" i="8"/>
  <c r="H51" i="8"/>
  <c r="G51" i="8"/>
  <c r="J51" i="8" s="1"/>
  <c r="L51" i="8" s="1"/>
  <c r="K50" i="8"/>
  <c r="H50" i="8"/>
  <c r="G50" i="8"/>
  <c r="J50" i="8" s="1"/>
  <c r="L50" i="8" s="1"/>
  <c r="K49" i="8"/>
  <c r="H49" i="8"/>
  <c r="G49" i="8"/>
  <c r="J49" i="8" s="1"/>
  <c r="K48" i="8"/>
  <c r="H48" i="8"/>
  <c r="G48" i="8"/>
  <c r="J48" i="8" s="1"/>
  <c r="K47" i="8"/>
  <c r="H47" i="8"/>
  <c r="G47" i="8"/>
  <c r="J47" i="8" s="1"/>
  <c r="K46" i="8"/>
  <c r="J46" i="8"/>
  <c r="L46" i="8" s="1"/>
  <c r="H46" i="8"/>
  <c r="G46" i="8"/>
  <c r="K45" i="8"/>
  <c r="J45" i="8"/>
  <c r="H45" i="8"/>
  <c r="G45" i="8"/>
  <c r="K44" i="8"/>
  <c r="H44" i="8"/>
  <c r="G44" i="8"/>
  <c r="J44" i="8" s="1"/>
  <c r="K43" i="8"/>
  <c r="H43" i="8"/>
  <c r="G43" i="8"/>
  <c r="J43" i="8" s="1"/>
  <c r="L43" i="8" s="1"/>
  <c r="K42" i="8"/>
  <c r="H42" i="8"/>
  <c r="G42" i="8"/>
  <c r="J42" i="8" s="1"/>
  <c r="L42" i="8" s="1"/>
  <c r="K41" i="8"/>
  <c r="H41" i="8"/>
  <c r="G41" i="8"/>
  <c r="J41" i="8" s="1"/>
  <c r="K40" i="8"/>
  <c r="H40" i="8"/>
  <c r="G40" i="8"/>
  <c r="J40" i="8" s="1"/>
  <c r="K39" i="8"/>
  <c r="H39" i="8"/>
  <c r="G39" i="8"/>
  <c r="J39" i="8" s="1"/>
  <c r="K38" i="8"/>
  <c r="J38" i="8"/>
  <c r="L38" i="8" s="1"/>
  <c r="H38" i="8"/>
  <c r="G38" i="8"/>
  <c r="K37" i="8"/>
  <c r="J37" i="8"/>
  <c r="H37" i="8"/>
  <c r="G37" i="8"/>
  <c r="K36" i="8"/>
  <c r="H36" i="8"/>
  <c r="G36" i="8"/>
  <c r="J36" i="8" s="1"/>
  <c r="L37" i="8" l="1"/>
  <c r="L45" i="8"/>
  <c r="L53" i="8"/>
  <c r="L39" i="8"/>
  <c r="L47" i="8"/>
  <c r="L40" i="8"/>
  <c r="L41" i="8"/>
  <c r="L48" i="8"/>
  <c r="L49" i="8"/>
  <c r="L55" i="8"/>
  <c r="L57" i="8"/>
  <c r="L36" i="8"/>
  <c r="L44" i="8"/>
  <c r="L52" i="8"/>
  <c r="L58" i="8"/>
  <c r="L59" i="8"/>
  <c r="Q95" i="1" l="1"/>
  <c r="Q94" i="1"/>
  <c r="Q93" i="1"/>
  <c r="R93" i="1" s="1"/>
  <c r="Q92" i="1"/>
  <c r="R92" i="1" s="1"/>
  <c r="Q91" i="1"/>
  <c r="Q90" i="1"/>
  <c r="R90" i="1" s="1"/>
  <c r="Q89" i="1"/>
  <c r="R89" i="1" s="1"/>
  <c r="Q88" i="1"/>
  <c r="R88" i="1" s="1"/>
  <c r="Q87" i="1"/>
  <c r="Q86" i="1"/>
  <c r="R86" i="1" s="1"/>
  <c r="Q85" i="1"/>
  <c r="R85" i="1" s="1"/>
  <c r="Q84" i="1"/>
  <c r="R84" i="1" s="1"/>
  <c r="Q83" i="1"/>
  <c r="Q82" i="1"/>
  <c r="R82" i="1" s="1"/>
  <c r="Q81" i="1"/>
  <c r="R81" i="1" s="1"/>
  <c r="Q80" i="1"/>
  <c r="R80" i="1" s="1"/>
  <c r="Q79" i="1"/>
  <c r="Q78" i="1"/>
  <c r="R78" i="1" s="1"/>
  <c r="Q77" i="1"/>
  <c r="R77" i="1" s="1"/>
  <c r="Q76" i="1"/>
  <c r="R76" i="1" s="1"/>
  <c r="Q75" i="1"/>
  <c r="Q74" i="1"/>
  <c r="R74" i="1" s="1"/>
  <c r="Q73" i="1"/>
  <c r="R73" i="1" s="1"/>
  <c r="Q72" i="1"/>
  <c r="R72" i="1" s="1"/>
  <c r="Q71" i="1"/>
  <c r="Q70" i="1"/>
  <c r="R70" i="1" s="1"/>
  <c r="Q69" i="1"/>
  <c r="R69" i="1" s="1"/>
  <c r="Q68" i="1"/>
  <c r="R68" i="1" s="1"/>
  <c r="Q67" i="1"/>
  <c r="Q66" i="1"/>
  <c r="R66" i="1" s="1"/>
  <c r="Q65" i="1"/>
  <c r="R65" i="1" s="1"/>
  <c r="Q64" i="1"/>
  <c r="R64" i="1" s="1"/>
  <c r="Q63" i="1"/>
  <c r="Q62" i="1"/>
  <c r="Q61" i="1"/>
  <c r="Q60" i="1"/>
  <c r="R60" i="1" s="1"/>
  <c r="Q59" i="1"/>
  <c r="Q58" i="1"/>
  <c r="R58" i="1" s="1"/>
  <c r="Q57" i="1"/>
  <c r="R57" i="1" s="1"/>
  <c r="Q56" i="1"/>
  <c r="R56" i="1" s="1"/>
  <c r="Q55" i="1"/>
  <c r="Q54" i="1"/>
  <c r="Q53" i="1"/>
  <c r="R53" i="1" s="1"/>
  <c r="Q52" i="1"/>
  <c r="R52" i="1" s="1"/>
  <c r="Q51" i="1"/>
  <c r="Q50" i="1"/>
  <c r="R50" i="1" s="1"/>
  <c r="Q49" i="1"/>
  <c r="R49" i="1" s="1"/>
  <c r="Q48" i="1"/>
  <c r="R48" i="1" s="1"/>
  <c r="Q47" i="1"/>
  <c r="Q46" i="1"/>
  <c r="R46" i="1" s="1"/>
  <c r="Q45" i="1"/>
  <c r="R45" i="1" s="1"/>
  <c r="Q44" i="1"/>
  <c r="R44" i="1" s="1"/>
  <c r="Q43" i="1"/>
  <c r="Q42" i="1"/>
  <c r="Q41" i="1"/>
  <c r="R41" i="1" s="1"/>
  <c r="Q40" i="1"/>
  <c r="R40" i="1" s="1"/>
  <c r="Q39" i="1"/>
  <c r="Q38" i="1"/>
  <c r="R38" i="1" s="1"/>
  <c r="Q37" i="1"/>
  <c r="R37" i="1" s="1"/>
  <c r="Q36" i="1"/>
  <c r="R36" i="1" s="1"/>
  <c r="Q35" i="1"/>
  <c r="Q34" i="1"/>
  <c r="R34" i="1" s="1"/>
  <c r="Q33" i="1"/>
  <c r="R33" i="1" s="1"/>
  <c r="Q32" i="1"/>
  <c r="R32" i="1" s="1"/>
  <c r="Q31" i="1"/>
  <c r="Q30" i="1"/>
  <c r="Q29" i="1"/>
  <c r="R29" i="1" s="1"/>
  <c r="Q28" i="1"/>
  <c r="R28" i="1" s="1"/>
  <c r="Q27" i="1"/>
  <c r="Q26" i="1"/>
  <c r="R26" i="1" s="1"/>
  <c r="Q25" i="1"/>
  <c r="R25" i="1" s="1"/>
  <c r="Q24" i="1"/>
  <c r="R24" i="1" s="1"/>
  <c r="Q23" i="1"/>
  <c r="Q22" i="1"/>
  <c r="Q21" i="1"/>
  <c r="R21" i="1" s="1"/>
  <c r="Q20" i="1"/>
  <c r="R20" i="1" s="1"/>
  <c r="Q19" i="1"/>
  <c r="Q18" i="1"/>
  <c r="R18" i="1" s="1"/>
  <c r="Q17" i="1"/>
  <c r="R17" i="1" s="1"/>
  <c r="Q16" i="1"/>
  <c r="R16" i="1" s="1"/>
  <c r="Q15" i="1"/>
  <c r="Q14" i="1"/>
  <c r="R14" i="1" s="1"/>
  <c r="Q13" i="1"/>
  <c r="R13" i="1" s="1"/>
  <c r="Q12" i="1"/>
  <c r="R12" i="1" s="1"/>
  <c r="Q11" i="1"/>
  <c r="Q10" i="1"/>
  <c r="R10" i="1" s="1"/>
  <c r="Q9" i="1"/>
  <c r="R9" i="1" s="1"/>
  <c r="Q8" i="1"/>
  <c r="R8" i="1" s="1"/>
  <c r="Q7" i="1"/>
  <c r="Q6" i="1"/>
  <c r="R6" i="1" s="1"/>
  <c r="Q5" i="1"/>
  <c r="R5" i="1" s="1"/>
  <c r="R95" i="1"/>
  <c r="R94" i="1"/>
  <c r="R91" i="1"/>
  <c r="R87" i="1"/>
  <c r="R83" i="1"/>
  <c r="R79" i="1"/>
  <c r="R75" i="1"/>
  <c r="R71" i="1"/>
  <c r="R67" i="1"/>
  <c r="R63" i="1"/>
  <c r="R62" i="1"/>
  <c r="R61" i="1"/>
  <c r="R59" i="1"/>
  <c r="R55" i="1"/>
  <c r="R54" i="1"/>
  <c r="R51" i="1"/>
  <c r="R47" i="1"/>
  <c r="R43" i="1"/>
  <c r="R42" i="1"/>
  <c r="R39" i="1"/>
  <c r="R35" i="1"/>
  <c r="R31" i="1"/>
  <c r="R30" i="1"/>
  <c r="R27" i="1"/>
  <c r="R23" i="1"/>
  <c r="R22" i="1"/>
  <c r="R19" i="1"/>
  <c r="R15" i="1"/>
  <c r="R11" i="1"/>
  <c r="R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A0286C-0398-AA4C-B192-CB3AA9BFB419}" name="aff_similarity_quantify" type="6" refreshedVersion="6" background="1" saveData="1">
    <textPr codePage="10000" sourceFile="/Users/marthabagnall/Marfa/Manuscripts/Connectome paper/all analysis data/aff_similarity_quantify.csv" comma="1">
      <textFields count="3">
        <textField/>
        <textField/>
        <textField/>
      </textFields>
    </textPr>
  </connection>
  <connection id="2" xr16:uid="{562963BB-DF97-9A45-AE56-BD2552AC214A}" name="hc_similarity_quantify" type="6" refreshedVersion="6" background="1" saveData="1">
    <textPr codePage="10000" sourceFile="/Users/marthabagnall/Marfa/Manuscripts/Connectome paper/all analysis data/hc_similarity_quantify.csv" comma="1">
      <textFields count="3">
        <textField/>
        <textField/>
        <textField/>
      </textFields>
    </textPr>
  </connection>
</connections>
</file>

<file path=xl/sharedStrings.xml><?xml version="1.0" encoding="utf-8"?>
<sst xmlns="http://schemas.openxmlformats.org/spreadsheetml/2006/main" count="1140" uniqueCount="721">
  <si>
    <t>AM_haircell_index</t>
  </si>
  <si>
    <t>KS_ratio</t>
  </si>
  <si>
    <t>tuning_dir_1</t>
  </si>
  <si>
    <t>tuning_dir_2</t>
  </si>
  <si>
    <t>tuning_dir_3</t>
  </si>
  <si>
    <t>XZ_degrees</t>
  </si>
  <si>
    <t>XZ_radians</t>
  </si>
  <si>
    <t>XZ_rad Corrected for Fish Yaw</t>
  </si>
  <si>
    <t>Kinocilium position in XYZ coordinates</t>
  </si>
  <si>
    <t>kino_x</t>
  </si>
  <si>
    <t>kino_y</t>
  </si>
  <si>
    <t>kino_z</t>
  </si>
  <si>
    <t>Soma position in XYZ coordinates</t>
  </si>
  <si>
    <t>soma_x</t>
  </si>
  <si>
    <t>soma_y</t>
  </si>
  <si>
    <t>soma_z</t>
  </si>
  <si>
    <t>hc_distance</t>
  </si>
  <si>
    <t>mean_tuning_similarity</t>
  </si>
  <si>
    <t>std_tuning_similarity</t>
  </si>
  <si>
    <t>Fig. 2c</t>
  </si>
  <si>
    <t>Number of ribbons</t>
  </si>
  <si>
    <t>Afferent_soma_z</t>
  </si>
  <si>
    <t>Haircell_soma_z</t>
  </si>
  <si>
    <t>Figure 2f</t>
  </si>
  <si>
    <t>Ear_AM_R_01</t>
  </si>
  <si>
    <t>Ear_AM_R_02</t>
  </si>
  <si>
    <t>Ear_AM_R_03</t>
  </si>
  <si>
    <t>Ear_AM_R_04</t>
  </si>
  <si>
    <t>Ear_AM_R_05</t>
  </si>
  <si>
    <t>Ear_AM_R_06</t>
  </si>
  <si>
    <t>Ear_AM_R_07</t>
  </si>
  <si>
    <t>Ear_AM_R_08</t>
  </si>
  <si>
    <t>Ear_AM_R_09</t>
  </si>
  <si>
    <t>Ear_AM_R_10</t>
  </si>
  <si>
    <t>Ear_AM_R_11</t>
  </si>
  <si>
    <t>Ear_AM_R_12</t>
  </si>
  <si>
    <t>Ear_AM_R_13</t>
  </si>
  <si>
    <t>Ear_AM_R_14</t>
  </si>
  <si>
    <t>Ear_AM_R_15</t>
  </si>
  <si>
    <t>Ear_AM_R_16</t>
  </si>
  <si>
    <t>ear_AM_R_17</t>
  </si>
  <si>
    <t>ear_AM_R_unmyel_01</t>
  </si>
  <si>
    <t>ear_AM_R_unmyel_02</t>
  </si>
  <si>
    <t>ear_AM_R_unmyel_03</t>
  </si>
  <si>
    <t>ear_AM_R_unmyel_04</t>
  </si>
  <si>
    <t>ear_AM_R_unmyel_05</t>
  </si>
  <si>
    <t>ear_AM_R_unmyel_06</t>
  </si>
  <si>
    <t>ear_AM_R_unmyel_07</t>
  </si>
  <si>
    <t>ear_AM_R_unmyel_08</t>
  </si>
  <si>
    <t>ear_AM_R_unmyel_09</t>
  </si>
  <si>
    <t>ear_AM_R_unmyel_10</t>
  </si>
  <si>
    <t>ear_AM_R_unmyel_11</t>
  </si>
  <si>
    <t>ear_AM_R_unmyel_12</t>
  </si>
  <si>
    <t>ear_AM_R_unmyel_13</t>
  </si>
  <si>
    <t>ear_AM_R_unmyel_14</t>
  </si>
  <si>
    <t>ear_AM_R_unmyel_15</t>
  </si>
  <si>
    <t>ear_AM_R_unmyel_16</t>
  </si>
  <si>
    <t>ear_AM_R_unmyel_17</t>
  </si>
  <si>
    <t>ear_AM_R_unmyel_18</t>
  </si>
  <si>
    <t>ear_AM_R_unmyel_19</t>
  </si>
  <si>
    <t>ear_AM_R_unmyel_21</t>
  </si>
  <si>
    <t>ear_AM_R_unmyel_22</t>
  </si>
  <si>
    <t>ear_AM_R_unmyel_23</t>
  </si>
  <si>
    <t>ear_AM_R_unmyel_24</t>
  </si>
  <si>
    <t>ear_AM_R_unmyel_25</t>
  </si>
  <si>
    <t>ear_AM_R_unmyel_26</t>
  </si>
  <si>
    <t>ear_AM_R_unmyel_27</t>
  </si>
  <si>
    <t>ear_AM_R_unmyel_28</t>
  </si>
  <si>
    <t>ear_AM_R_unmyel_29</t>
  </si>
  <si>
    <t>ear_AM_R_unmyel_30</t>
  </si>
  <si>
    <t>ear_AM_R_unmyel_31</t>
  </si>
  <si>
    <t>ear_AM_R_unmyel_32</t>
  </si>
  <si>
    <t>ear_AM_R_unmyel_33</t>
  </si>
  <si>
    <t>ear_AM_R_unmyel_34</t>
  </si>
  <si>
    <t>ear_AM_R_unmyel_35</t>
  </si>
  <si>
    <t>ear_AM_R_unmyel_36</t>
  </si>
  <si>
    <t>ear_AM_R_unmyel_37</t>
  </si>
  <si>
    <t>ear_AM_R_unmyel_38</t>
  </si>
  <si>
    <t>ear_AM_R_unmyel_39</t>
  </si>
  <si>
    <t>ear_AM_R_unmyel_40</t>
  </si>
  <si>
    <t>ear_AM_R_unmyel_41</t>
  </si>
  <si>
    <t>ear_AM_R_unmyel_42</t>
  </si>
  <si>
    <t>ear_AM_R_unmyel_43</t>
  </si>
  <si>
    <t>ear_AM_R_unmyel_44</t>
  </si>
  <si>
    <t>ear_AM_R_unmyel_45</t>
  </si>
  <si>
    <t>ear_AM_R_unmyel_46</t>
  </si>
  <si>
    <t>ear_AM_R_unmyel_47</t>
  </si>
  <si>
    <t>ear_AM_R_unmyel_48</t>
  </si>
  <si>
    <t>ear_AM_R_unmyel_49</t>
  </si>
  <si>
    <t>ear_AM_R_unmyel_50</t>
  </si>
  <si>
    <t>ear_AM_R_unmyel_51</t>
  </si>
  <si>
    <t>ear_AM_R_unmyel_52</t>
  </si>
  <si>
    <t>ear_AM_R_unmyel_53</t>
  </si>
  <si>
    <t>ear_AM_R_unmyel_54</t>
  </si>
  <si>
    <t>ear_AM_R_unmyel_55</t>
  </si>
  <si>
    <t>ear_AM_R_unmyel_56</t>
  </si>
  <si>
    <t>ear_AM_R_unmyel_57</t>
  </si>
  <si>
    <t>ear_AM_R_unmyel_58</t>
  </si>
  <si>
    <t>ear_AM_R_unmyel_59</t>
  </si>
  <si>
    <t>ear_AM_R_unmyel_60</t>
  </si>
  <si>
    <t>ear_AM_R_unmyel_61</t>
  </si>
  <si>
    <t>ear_AM_R_unmyel_62</t>
  </si>
  <si>
    <t>ear_AM_R_unmyel_63</t>
  </si>
  <si>
    <t>ear_AM_R_unmyel_64</t>
  </si>
  <si>
    <t>ear_AM_R_unmyel_65</t>
  </si>
  <si>
    <t>ear_AM_R_unmyel_66</t>
  </si>
  <si>
    <t>ear_AM_R_unmyel_67</t>
  </si>
  <si>
    <t>ear_AM_R_unmyel_68</t>
  </si>
  <si>
    <t>ear_AM_R_unmyel_69</t>
  </si>
  <si>
    <t>ear_AM_R_unmyel_70</t>
  </si>
  <si>
    <t>ear_AM_R_unmyel_71</t>
  </si>
  <si>
    <t>ear_AM_R_unmyel_72</t>
  </si>
  <si>
    <t>ear_AM_R_unmyel_73</t>
  </si>
  <si>
    <t>ear_AM_R_unmyel_74</t>
  </si>
  <si>
    <t>ear_AM_R_unmyel_75</t>
  </si>
  <si>
    <t>ear_AM_R_unmyel_76</t>
  </si>
  <si>
    <t>ear_AM_R_unmyel_77</t>
  </si>
  <si>
    <t>ear_AM_R_unmyel_78</t>
  </si>
  <si>
    <t>ear_AM_R_unmyel_79</t>
  </si>
  <si>
    <t>ear_AM_R_unmyel_80</t>
  </si>
  <si>
    <t>ear_AM_R_unmyel_81</t>
  </si>
  <si>
    <t>ear_AM_R_unmyel_82</t>
  </si>
  <si>
    <t>ear_AM_R_unmyel_83</t>
  </si>
  <si>
    <t>ear_AM_R_unmyel_84</t>
  </si>
  <si>
    <t>ear_AM_R_unmyel_85</t>
  </si>
  <si>
    <t>ear_AM_R_unmyel_86</t>
  </si>
  <si>
    <t>ear_AM_R_unmyel_87</t>
  </si>
  <si>
    <t>ear_AM_R_unmyel_88</t>
  </si>
  <si>
    <t>ear_AM_R_unmyel_89</t>
  </si>
  <si>
    <t>Afferent 20 is excluded from analysis because the peripheral process could not be traced back to a soma</t>
  </si>
  <si>
    <t>Excluded from further analysis because the peripheral process could not be traced back to a soma</t>
  </si>
  <si>
    <t>Afferent name</t>
  </si>
  <si>
    <t>Afferent tuning</t>
  </si>
  <si>
    <t>Soma_x</t>
  </si>
  <si>
    <t>Soma_y</t>
  </si>
  <si>
    <t>Soma_z</t>
  </si>
  <si>
    <t>Plot is of soma_z vs soma_x to produce horizontal view</t>
  </si>
  <si>
    <t>Values of computed afferent tuning are in radians</t>
  </si>
  <si>
    <t>0 = maximally sensitive to rightward (ipsilateral) tilt</t>
  </si>
  <si>
    <t>Pi/2 = maximally sensitive to rostral tilt</t>
  </si>
  <si>
    <t>aff_distance</t>
  </si>
  <si>
    <t>Fig 2h</t>
  </si>
  <si>
    <t>Mauthner_R</t>
  </si>
  <si>
    <t>SuperiorVN_R_01</t>
  </si>
  <si>
    <t>SuperiorVN_R_02</t>
  </si>
  <si>
    <t>SuperiorVN_R_03</t>
  </si>
  <si>
    <t>SuperiorVN_R_04</t>
  </si>
  <si>
    <t>SuperiorVN_R_05</t>
  </si>
  <si>
    <t>SuperiorVN_R_06</t>
  </si>
  <si>
    <t>SuperiorVN_R_07</t>
  </si>
  <si>
    <t>SuperiorVN_R_08</t>
  </si>
  <si>
    <t>SuperiorVN_R_09</t>
  </si>
  <si>
    <t>SuperiorVN_R_10</t>
  </si>
  <si>
    <t>SuperiorVN_R_11</t>
  </si>
  <si>
    <t>SuperiorVN_R_12</t>
  </si>
  <si>
    <t>tangential_nucleus_R_01</t>
  </si>
  <si>
    <t>tangential_nucleus_R_02</t>
  </si>
  <si>
    <t>tangential_nucleus_R_03</t>
  </si>
  <si>
    <t>tangential_nucleus_R_04</t>
  </si>
  <si>
    <t>tangential_nucleus_R_05</t>
  </si>
  <si>
    <t>tangential_nucleus_R_06</t>
  </si>
  <si>
    <t>tangential_nucleus_R_07</t>
  </si>
  <si>
    <t>tangential_nucleus_R_09</t>
  </si>
  <si>
    <t>vestibular_commiss_R_01</t>
  </si>
  <si>
    <t>vestibular_commiss_R_02</t>
  </si>
  <si>
    <t>vestibular_commiss_R_03</t>
  </si>
  <si>
    <t>vestibular_commiss_R_04</t>
  </si>
  <si>
    <t>VS_R_01</t>
  </si>
  <si>
    <t>VS_R_02</t>
  </si>
  <si>
    <t>VS_R_03</t>
  </si>
  <si>
    <t>VS_R_04</t>
  </si>
  <si>
    <t>VS_R_05</t>
  </si>
  <si>
    <t>VS_R_06</t>
  </si>
  <si>
    <t>VS_R_07</t>
  </si>
  <si>
    <t>VS_R_08</t>
  </si>
  <si>
    <t>VS_R_09</t>
  </si>
  <si>
    <t>VS_R_10</t>
  </si>
  <si>
    <t>VS_R_11</t>
  </si>
  <si>
    <t>VS_R_12</t>
  </si>
  <si>
    <t>VS_R_13</t>
  </si>
  <si>
    <t>VS_R_14</t>
  </si>
  <si>
    <t>VS_R_15</t>
  </si>
  <si>
    <t>tangential_nucleus_R_10</t>
  </si>
  <si>
    <t>tangential_nucleus_R_11</t>
  </si>
  <si>
    <t>tangential_nucleus_R_12</t>
  </si>
  <si>
    <t>VS_R_16</t>
  </si>
  <si>
    <t>VS_R_17</t>
  </si>
  <si>
    <t>VS_R_18</t>
  </si>
  <si>
    <t>VS_R_19</t>
  </si>
  <si>
    <t>Central neuron name</t>
  </si>
  <si>
    <t>Tuning angle</t>
  </si>
  <si>
    <t>Values of computed tuning are in radians</t>
  </si>
  <si>
    <t>Figure 3d, 4 a-c</t>
  </si>
  <si>
    <t>Figure 3g</t>
  </si>
  <si>
    <t>maxBend</t>
  </si>
  <si>
    <t>Heading dxn degrees</t>
  </si>
  <si>
    <t>Tail bend dxn degrees</t>
  </si>
  <si>
    <t>Head accel dxn</t>
  </si>
  <si>
    <t>Esc dxn</t>
  </si>
  <si>
    <t>"Correct" escape?</t>
  </si>
  <si>
    <t>TAS_Fish45_t2_20</t>
  </si>
  <si>
    <t>RIGHT</t>
  </si>
  <si>
    <t>LEFT</t>
  </si>
  <si>
    <t>NO</t>
  </si>
  <si>
    <t>TAS_Fish52_t2_20</t>
  </si>
  <si>
    <t>YES</t>
  </si>
  <si>
    <t>TAS_Fish52_t1_20</t>
  </si>
  <si>
    <t>TAS_Fish03_t1_20</t>
  </si>
  <si>
    <t>TAS_Fish31_t1_20</t>
  </si>
  <si>
    <t>TAS_Fish48_t1_20</t>
  </si>
  <si>
    <t>TAS_Fish31_t2_20</t>
  </si>
  <si>
    <t>TAS_Fish53_t2_20</t>
  </si>
  <si>
    <t>TAS_Fish36_t1_20</t>
  </si>
  <si>
    <t>TAS_Fish27_t2_20</t>
  </si>
  <si>
    <t>TAS_Fish35_t2_20</t>
  </si>
  <si>
    <t>TAS_Fish12_t2_20</t>
  </si>
  <si>
    <t>TAS_Fish27_t1_20</t>
  </si>
  <si>
    <t>TAS_Fish02_t2_20</t>
  </si>
  <si>
    <t>TAS_Fish22_t1_20</t>
  </si>
  <si>
    <t>TAS_Fish18_t2_20</t>
  </si>
  <si>
    <t>TAS_Fish06_t1_20</t>
  </si>
  <si>
    <t>TAS_Fish35_t1_20</t>
  </si>
  <si>
    <t>TAS_Fish19_t2_20</t>
  </si>
  <si>
    <t>TAS_Fish39_t1_20</t>
  </si>
  <si>
    <t>TAS_Fish06_t2_20</t>
  </si>
  <si>
    <t>TAS_Fish41_t2_20</t>
  </si>
  <si>
    <t>TAS_Fish11_t2_20</t>
  </si>
  <si>
    <t>TAS_Fish26_t2_20</t>
  </si>
  <si>
    <t>TAS_Fish33_t1_20</t>
  </si>
  <si>
    <t>TAS_Fish24_t1_20</t>
  </si>
  <si>
    <t>TAS_Fish44_t1_20</t>
  </si>
  <si>
    <t>TAS_Fish08_t2_20</t>
  </si>
  <si>
    <t>TAS_Fish33_t2_20</t>
  </si>
  <si>
    <t>TAS_Fish38_t2_20</t>
  </si>
  <si>
    <t>TAS_Fish34_t1_20</t>
  </si>
  <si>
    <t>TAS_Fish15_t1_20</t>
  </si>
  <si>
    <t>Fish name _ trial</t>
  </si>
  <si>
    <t>Tail Angle direction</t>
  </si>
  <si>
    <t>Heading direction</t>
  </si>
  <si>
    <t>TAS_Fish17_t1_20</t>
  </si>
  <si>
    <t>TAS_Fish39_t2_20</t>
  </si>
  <si>
    <t>TAS_Fish40_t2_20</t>
  </si>
  <si>
    <t>TAS_Fish37_t1_20</t>
  </si>
  <si>
    <t>TAS_Fish05_t2_20</t>
  </si>
  <si>
    <t>TAS_Fish34_t2_20</t>
  </si>
  <si>
    <t>TAS_Fish53_t1_20</t>
  </si>
  <si>
    <t>TAS_Fish54_t1_20</t>
  </si>
  <si>
    <t>TAS_Fish30_t1_20</t>
  </si>
  <si>
    <t>TAS_Fish03_t2_20</t>
  </si>
  <si>
    <t>TAS_Fish09_t2_20</t>
  </si>
  <si>
    <t>TAS_Fish49_t2_20</t>
  </si>
  <si>
    <t>TAS_Fish37_t2_20</t>
  </si>
  <si>
    <t>TAS_Fish43_t1_20</t>
  </si>
  <si>
    <t>TAS_Fish13_t2_20</t>
  </si>
  <si>
    <t>TAS_Fish09_t1_20</t>
  </si>
  <si>
    <t>TAS_Fish10_t2_20</t>
  </si>
  <si>
    <t>TAS_Fish05_t1_20</t>
  </si>
  <si>
    <t>TAS_Fish44_t2_20</t>
  </si>
  <si>
    <t>TAS_Fish50_t1_20</t>
  </si>
  <si>
    <t>TAS_Fish16_t1_20</t>
  </si>
  <si>
    <t>TAS_Fish14_t2_20</t>
  </si>
  <si>
    <t>TAS_Fish23_t2_20</t>
  </si>
  <si>
    <t>TAS_Fish23_t1_20</t>
  </si>
  <si>
    <t>TAS_Fish50_t2_20</t>
  </si>
  <si>
    <t>TAS_Fish01_t1_20</t>
  </si>
  <si>
    <t>TAS_Fish24_t2_20</t>
  </si>
  <si>
    <t>TAS_Fish15_t2_20</t>
  </si>
  <si>
    <t>TAS_Fish13_t1_20</t>
  </si>
  <si>
    <t>TAS_Fish16_t2_20</t>
  </si>
  <si>
    <t>TAS_Fish40_t1_20</t>
  </si>
  <si>
    <t>TAS_Fish11_t1_20</t>
  </si>
  <si>
    <t>TAS_Fish38_t1_20</t>
  </si>
  <si>
    <t>TAS_Fish46_t2_20</t>
  </si>
  <si>
    <t>TAS_Fish47_t2_20</t>
  </si>
  <si>
    <t>TAS_Fish02_t1_20</t>
  </si>
  <si>
    <t>TAS_Fish01_t2_20</t>
  </si>
  <si>
    <t>TAS_Fish43_t2_20</t>
  </si>
  <si>
    <t>TAS_Fish51_t2_20</t>
  </si>
  <si>
    <t>TAS_Fish30_t2_20</t>
  </si>
  <si>
    <t>TAS_Fish20_t2_20</t>
  </si>
  <si>
    <t>TAS_Fish25_t1_20</t>
  </si>
  <si>
    <t>TAS_Fish47_t1_20</t>
  </si>
  <si>
    <t>TAS_Fish08_t1_20</t>
  </si>
  <si>
    <t>TAS_Fish26_t1_20</t>
  </si>
  <si>
    <t>TAS_Fish18_t1_20</t>
  </si>
  <si>
    <t>TAS_Fish45_t1_20</t>
  </si>
  <si>
    <t>TAS_Fish19_t1_20</t>
  </si>
  <si>
    <t>TAS_Fish42_t1_20</t>
  </si>
  <si>
    <t>TAS_Fish14_t1_20</t>
  </si>
  <si>
    <t>TAS_Fish04_t1_20</t>
  </si>
  <si>
    <t>TAS_Fish25_t2_20</t>
  </si>
  <si>
    <t>TAS_Fish48_t2_20</t>
  </si>
  <si>
    <t>TAS_Fish04_t2_20</t>
  </si>
  <si>
    <t>TAS_Fish32_t1_20</t>
  </si>
  <si>
    <t>TAS_Fish46_t1_20</t>
  </si>
  <si>
    <t>TAS_Fish29_t2_20</t>
  </si>
  <si>
    <t>TAS_Fish12_t1_20</t>
  </si>
  <si>
    <t>TAS_Fish28_t2_20</t>
  </si>
  <si>
    <t>TAS_Fish07_t1_20</t>
  </si>
  <si>
    <t>TAS_Fish20_t1_20</t>
  </si>
  <si>
    <t>TAS_Fish42_t2_20</t>
  </si>
  <si>
    <t>TAS_Fish28_t1_20</t>
  </si>
  <si>
    <t>TAS_Fish54_t2_20</t>
  </si>
  <si>
    <t>TAS_Fish41_t1_20</t>
  </si>
  <si>
    <t>TAS_Fish21_t2_20</t>
  </si>
  <si>
    <t>TAS_Fish21_t1_20</t>
  </si>
  <si>
    <t>TAS_Fish29_t1_20</t>
  </si>
  <si>
    <t>TAS_Fish51_t1_20</t>
  </si>
  <si>
    <t>TAS_Fish49_t1_20</t>
  </si>
  <si>
    <t>TAS_Fish07_t2_20</t>
  </si>
  <si>
    <t>TAS_Fish22_t2_20</t>
  </si>
  <si>
    <t>Non escape trials</t>
  </si>
  <si>
    <t>Clutch</t>
  </si>
  <si>
    <t>TAS_fish06_t2_20</t>
  </si>
  <si>
    <t>TAS_fish09_t3_20</t>
  </si>
  <si>
    <t>TAS_fish38_t1_20</t>
  </si>
  <si>
    <t>TAS_fish11_t3_20</t>
  </si>
  <si>
    <t>TAS_fish12_t1_20</t>
  </si>
  <si>
    <t>TAS_fish23_t4_20</t>
  </si>
  <si>
    <t>TAS_fish35_t3_20</t>
  </si>
  <si>
    <t>TAS_fish05_t4_20</t>
  </si>
  <si>
    <t>TAS_fish24_t1_20</t>
  </si>
  <si>
    <t>TAS_fish02_t1_20</t>
  </si>
  <si>
    <t>TAS_fish17_t4_20</t>
  </si>
  <si>
    <t>TAS_fish49_t3_20</t>
  </si>
  <si>
    <t>TAS_fish26_t2_20</t>
  </si>
  <si>
    <t>TAS_fish07_t4_20</t>
  </si>
  <si>
    <t>TAS_fish27_t4_20</t>
  </si>
  <si>
    <t>TAS_fish19_t4_20</t>
  </si>
  <si>
    <t>TAS_fish22_t2_20</t>
  </si>
  <si>
    <t>TAS_fish06_t1_20</t>
  </si>
  <si>
    <t>TAS_fish31_t4_20</t>
  </si>
  <si>
    <t>TAS_fish15_t4_20</t>
  </si>
  <si>
    <t>TAS_fish04_t1_20</t>
  </si>
  <si>
    <t>TAS_fish47_t3_20</t>
  </si>
  <si>
    <t>TAS_fish39_t4_20</t>
  </si>
  <si>
    <t>TAS_fish04_t2_20</t>
  </si>
  <si>
    <t>TAS_fish42_t1_20</t>
  </si>
  <si>
    <t>TAS_fish01_t4_20</t>
  </si>
  <si>
    <t>TAS_fish51_t3_20</t>
  </si>
  <si>
    <t>TAS_fish24_t2_20</t>
  </si>
  <si>
    <t>TAS_fish48_t2_20</t>
  </si>
  <si>
    <t>TAS_fish20_t2_20</t>
  </si>
  <si>
    <t>TAS_fish44_t1_20</t>
  </si>
  <si>
    <t>TAS_fish47_t4_20</t>
  </si>
  <si>
    <t>TAS_fish36_t2_20</t>
  </si>
  <si>
    <t>TAS_fish48_t1_20</t>
  </si>
  <si>
    <t>TAS_fish27_t3_20</t>
  </si>
  <si>
    <t>TAS_fish13_t3_20</t>
  </si>
  <si>
    <t>TAS_fish10_t1_20</t>
  </si>
  <si>
    <t>TAS_fish19_t3_20</t>
  </si>
  <si>
    <t>TAS_fish07_t3_20</t>
  </si>
  <si>
    <t>TAS_fish17_t3_20</t>
  </si>
  <si>
    <t>TAS_fish38_t2_20</t>
  </si>
  <si>
    <t>TAS_fish49_t4_20</t>
  </si>
  <si>
    <t>TAS_fish46_t1_20</t>
  </si>
  <si>
    <t>TAS_fish21_t3_20</t>
  </si>
  <si>
    <t>TAS_fish18_t1_20</t>
  </si>
  <si>
    <t>TAS_fish30_t2_20</t>
  </si>
  <si>
    <t>TAS_fish21_t4_20</t>
  </si>
  <si>
    <t>TAS_fish34_t2_20</t>
  </si>
  <si>
    <t>TAS_fish03_t3_20</t>
  </si>
  <si>
    <t>TAS_fish18_t2_20</t>
  </si>
  <si>
    <t>TAS_fish28_t2_20</t>
  </si>
  <si>
    <t>TAS_fish33_t4_20</t>
  </si>
  <si>
    <t>TAS_fish32_t1_20</t>
  </si>
  <si>
    <t>TAS_fish39_t3_20</t>
  </si>
  <si>
    <t>TAS_fish45_t2_20</t>
  </si>
  <si>
    <t>TAS_fish28_t1_20</t>
  </si>
  <si>
    <t>TAS_fish03_t4_20</t>
  </si>
  <si>
    <t>TAS_fish14_t2_20</t>
  </si>
  <si>
    <t>TAS_fish43_t4_20</t>
  </si>
  <si>
    <t>TAS_fish30_t1_20</t>
  </si>
  <si>
    <t>TAS_fish51_t4_20</t>
  </si>
  <si>
    <t>TAS_fish50_t2_20</t>
  </si>
  <si>
    <t>TAS_fish10_t2_20</t>
  </si>
  <si>
    <t>TAS_fish15_t3_20</t>
  </si>
  <si>
    <t>TAS_fish41_t3_20</t>
  </si>
  <si>
    <t>TAS_fish37_t4_20</t>
  </si>
  <si>
    <t>TAS_fish23_t3_20</t>
  </si>
  <si>
    <t>TAS_fish11_t4_20</t>
  </si>
  <si>
    <t>TAS_fish34_t1_20</t>
  </si>
  <si>
    <t>TAS_fish08_t1_20</t>
  </si>
  <si>
    <t>TAS_fish20_t1_20</t>
  </si>
  <si>
    <t>TAS_fish22_t1_20</t>
  </si>
  <si>
    <t>TAS_fish05_t3_20</t>
  </si>
  <si>
    <t>TAS_fish35_t4_20</t>
  </si>
  <si>
    <t>TAS_fish32_t2_20</t>
  </si>
  <si>
    <t>TAS_fish26_t1_20</t>
  </si>
  <si>
    <t>TAS_fish42_t2_20</t>
  </si>
  <si>
    <t>TAS_fish16_t2_20</t>
  </si>
  <si>
    <t>TAS_fish08_t2_20</t>
  </si>
  <si>
    <t>TAS_fish01_t3_20</t>
  </si>
  <si>
    <t>TAS_fish29_t4_20</t>
  </si>
  <si>
    <t>TAS_fish36_t1_20</t>
  </si>
  <si>
    <t>TAS_fish33_t3_20</t>
  </si>
  <si>
    <t>TAS_fish40_t1_20</t>
  </si>
  <si>
    <t>TAS_fish31_t3_20</t>
  </si>
  <si>
    <t>TAS_fish45_t3_20</t>
  </si>
  <si>
    <t>TAS_fish29_t3_20</t>
  </si>
  <si>
    <t>TAS_fish40_t2_20</t>
  </si>
  <si>
    <t>TAS_fish14_t1_20</t>
  </si>
  <si>
    <t>TAS_fish43_t3_20</t>
  </si>
  <si>
    <t>TAS_fish37_t3_20</t>
  </si>
  <si>
    <t>TAS_fish09_t4_20</t>
  </si>
  <si>
    <t>TAS_fish46_t2_20</t>
  </si>
  <si>
    <t>TAS_fish02_t2_20</t>
  </si>
  <si>
    <t>TAS_fish44_t2_20</t>
  </si>
  <si>
    <t>TAS_fish41_t4_20</t>
  </si>
  <si>
    <t>TAS_fish25_t3_20</t>
  </si>
  <si>
    <t>TAS_fish50_t1_20</t>
  </si>
  <si>
    <t>Escape trials</t>
  </si>
  <si>
    <t>All values derived from ZebraZoom</t>
  </si>
  <si>
    <t>MaxBend Values &gt; 0.5 are considered escapes</t>
  </si>
  <si>
    <t>Tail angle smooth direction: positive = left, negative = right</t>
  </si>
  <si>
    <t>Heading direction: 0 degrees is 3 o clock (right), 90 degrees is 6 o clock (down)</t>
  </si>
  <si>
    <t>Sled acceleration is toward 60 degrees, so head angle values from 60 to 240 degrees means acceleration to fish's left</t>
  </si>
  <si>
    <t>Note that in the actual figure, the values were all corrected for display so that acceleration is towards the 180 degree value</t>
  </si>
  <si>
    <t>Figure 3h</t>
  </si>
  <si>
    <t>Rock solo (-/-)</t>
  </si>
  <si>
    <t>TAS_fish03_t1_20</t>
  </si>
  <si>
    <t>TAS_fish35_36_t2</t>
  </si>
  <si>
    <t>TAS_fish51_52_t1fish2</t>
  </si>
  <si>
    <t>TAS_fish35_36_t3</t>
  </si>
  <si>
    <t>TAS_fish35_36_t3fish2</t>
  </si>
  <si>
    <t>TAS_fish31_32_t1</t>
  </si>
  <si>
    <t>TAS_fish59_60_t2fish2</t>
  </si>
  <si>
    <t>TAS_fish31_32_t3fish2</t>
  </si>
  <si>
    <t>TAS_fish43_44_t4</t>
  </si>
  <si>
    <t>TAS_fish51_52_t1</t>
  </si>
  <si>
    <t>TAS_fish31_32_t2fish2</t>
  </si>
  <si>
    <t>TAS_fish13_t1_20</t>
  </si>
  <si>
    <t>TAS_fish43_44_t1</t>
  </si>
  <si>
    <t>TAS_fish10_t3_20</t>
  </si>
  <si>
    <t>TAS_fish43_44_t3fish2</t>
  </si>
  <si>
    <t>TAS_fish51_52_t2fish2</t>
  </si>
  <si>
    <t>TAS_fish55_56_t1fish2</t>
  </si>
  <si>
    <t>TAS_fish35_36_t1</t>
  </si>
  <si>
    <t>TAS_fish31_32_t3</t>
  </si>
  <si>
    <t>TAS_fish47_48_t3</t>
  </si>
  <si>
    <t>TAS_fish47_48_t1</t>
  </si>
  <si>
    <t>TAS_fish55_56_t1</t>
  </si>
  <si>
    <t>TAS_fish35_36_t2fish2</t>
  </si>
  <si>
    <t>TAS_fish9_t1_202</t>
  </si>
  <si>
    <t>TAS_fish35_36_t1fish2</t>
  </si>
  <si>
    <t>TAS_fish55_56_t2</t>
  </si>
  <si>
    <t>TAS_fish43_44_t4fish2</t>
  </si>
  <si>
    <t>TAS_fish43_44_t1fish2</t>
  </si>
  <si>
    <t>TAS_fish51_52_t2</t>
  </si>
  <si>
    <t>TAS_fish13_t2_20</t>
  </si>
  <si>
    <t>TAS_fish31_32_t1fish2</t>
  </si>
  <si>
    <t>TAS_fish47_48_t1fish2</t>
  </si>
  <si>
    <t>TAS_fish55_56_t2fish2</t>
  </si>
  <si>
    <t>TAS_fish7_t3_202</t>
  </si>
  <si>
    <t>TAS_fish31_32_t2</t>
  </si>
  <si>
    <t>TAS_fish51_52_t3</t>
  </si>
  <si>
    <t>TAS_fish29_30_t3</t>
  </si>
  <si>
    <t>TAS_fish7_t2_202</t>
  </si>
  <si>
    <t>TAS_fish17_18_t2fish2</t>
  </si>
  <si>
    <t>TAS_fish21_22_t3fish2</t>
  </si>
  <si>
    <t>TAS_fish17_18_t2</t>
  </si>
  <si>
    <t>TAS_fish17_18_t3</t>
  </si>
  <si>
    <t>TAS_fish39_40_t2fish2</t>
  </si>
  <si>
    <t>TAS_fish59_60_t1</t>
  </si>
  <si>
    <t>TAS_fish9_t3_202</t>
  </si>
  <si>
    <t>TAS_fish17_18_t3fish2</t>
  </si>
  <si>
    <t>TAS_fish03_t2_20</t>
  </si>
  <si>
    <t>TAS_fish21_22_t2fish2</t>
  </si>
  <si>
    <t>TAS_fish21_22_t1fish2</t>
  </si>
  <si>
    <t>TAS_fish47_48_t2fish2</t>
  </si>
  <si>
    <t>TAS_fish59_60_t2</t>
  </si>
  <si>
    <t>TAS_fish15_t2_20</t>
  </si>
  <si>
    <t>TAS_fish51_52_t3fish2</t>
  </si>
  <si>
    <t>TAS_fish21_22_t3</t>
  </si>
  <si>
    <t>TAS_fish9_t2_202</t>
  </si>
  <si>
    <t>TAS_fish5_t3_202</t>
  </si>
  <si>
    <t>TAS_fish25_26_t2</t>
  </si>
  <si>
    <t>TAS_fish5_t2_202</t>
  </si>
  <si>
    <t>TAS_fish59_60_t3</t>
  </si>
  <si>
    <t>TAS_fish39_40_t2</t>
  </si>
  <si>
    <t>TAS_fish21_22_t2</t>
  </si>
  <si>
    <t>TAS_fish21_22_t1</t>
  </si>
  <si>
    <t>TAS_fish59_60_t3fish2</t>
  </si>
  <si>
    <t>TAS_fish39_40_t3fish2</t>
  </si>
  <si>
    <t>TAS_fish5_t1_202</t>
  </si>
  <si>
    <t>TAS_fish7_t1_202</t>
  </si>
  <si>
    <t>TAS_fish25_26_t2fish2</t>
  </si>
  <si>
    <t>TAS_fish17_18_t1fish2</t>
  </si>
  <si>
    <t>TAS_fish29_30_t2</t>
  </si>
  <si>
    <t>TAS_fish15_t1_20</t>
  </si>
  <si>
    <t>TAS_fish25_26_t1</t>
  </si>
  <si>
    <t>TAS_fish29_30_t2fish2</t>
  </si>
  <si>
    <t>TAS_fish17_18_t1</t>
  </si>
  <si>
    <t>TAS_fish25_26_t1fish2</t>
  </si>
  <si>
    <t>TAS_fish29_30_t3fish2</t>
  </si>
  <si>
    <t>TAS_fish39_40_t3</t>
  </si>
  <si>
    <t>TAS_fish43_44_t3</t>
  </si>
  <si>
    <t>TAS_fish47_48_t2</t>
  </si>
  <si>
    <t>TAS_fish47_48_t3fish2</t>
  </si>
  <si>
    <t>TAS_fish59_60_t1fish2</t>
  </si>
  <si>
    <t>Wildtype siblings (+/-)</t>
  </si>
  <si>
    <t>TAS_fish25_t4_20</t>
  </si>
  <si>
    <t>TAS_fish39_t5_20</t>
  </si>
  <si>
    <t>TAS_fish13_t4_20</t>
  </si>
  <si>
    <t>TAS_fish45_t4_20</t>
  </si>
  <si>
    <t>TAS_fish16_t1_20</t>
  </si>
  <si>
    <t>TAS_fish12_t2_20</t>
  </si>
  <si>
    <t>TAS_fish53_t2_20</t>
  </si>
  <si>
    <t>TAS_fish58_t2_20</t>
  </si>
  <si>
    <t>TAS_fish53_t1_20</t>
  </si>
  <si>
    <t>TAS_fish53_t3_20</t>
  </si>
  <si>
    <t>TAS_fish4_t1_202</t>
  </si>
  <si>
    <t>TAS_fish20_t3_20</t>
  </si>
  <si>
    <t>TAS_fish23_t1_20</t>
  </si>
  <si>
    <t>TAS_fish8_t1_202</t>
  </si>
  <si>
    <t>TAS_fish49_t2_20</t>
  </si>
  <si>
    <t>TAS_fish11_t2_20</t>
  </si>
  <si>
    <t>TAS_fish4_t2_202</t>
  </si>
  <si>
    <t>TAS_fish42_t3_20</t>
  </si>
  <si>
    <t>TAS_fish58_t3_20</t>
  </si>
  <si>
    <t>TAS_fish19_t1_20</t>
  </si>
  <si>
    <t>TAS_fish57_t3_20</t>
  </si>
  <si>
    <t>TAS_fish38_t3_20</t>
  </si>
  <si>
    <t>TAS_fish19_t2_20</t>
  </si>
  <si>
    <t>TAS_fish27_t2_20</t>
  </si>
  <si>
    <t>TAS_fish11_t1_20</t>
  </si>
  <si>
    <t>TAS_fish45_t1_20</t>
  </si>
  <si>
    <t>TAS_fish42_t4_20</t>
  </si>
  <si>
    <t>TAS_fish49_t1_20</t>
  </si>
  <si>
    <t>TAS_fish41_t2_20</t>
  </si>
  <si>
    <t>TAS_fish4_t3_202</t>
  </si>
  <si>
    <t>TAS_fish58_t1_20</t>
  </si>
  <si>
    <t>TAS_fish14_t3_20</t>
  </si>
  <si>
    <t>TAS_fish6_t1_202</t>
  </si>
  <si>
    <t>TAS_fish27_t1_20</t>
  </si>
  <si>
    <t>TAS_fish57_t2_20</t>
  </si>
  <si>
    <t>TAS_fish54_t3_20</t>
  </si>
  <si>
    <t>TAS_fish12_t3_20</t>
  </si>
  <si>
    <t>TAS_fish8_t3_202</t>
  </si>
  <si>
    <t>TAS_fish54_t2_20</t>
  </si>
  <si>
    <t>TAS_fish50_t3_20</t>
  </si>
  <si>
    <t>tas_fish24_te_20</t>
  </si>
  <si>
    <t>TAS_fish33_t1_20</t>
  </si>
  <si>
    <t>TAS_fish54_t1_20</t>
  </si>
  <si>
    <t>TAS_fish33_t2_20</t>
  </si>
  <si>
    <t>TAS_fish6_t2_202</t>
  </si>
  <si>
    <t>TAS_fish34_t3_20</t>
  </si>
  <si>
    <t>TAS_fish16_t3_20</t>
  </si>
  <si>
    <t>TAS_fish41_t1_20</t>
  </si>
  <si>
    <t>TAS_fish37_t1_20</t>
  </si>
  <si>
    <t>TAS_fish6_t3_202</t>
  </si>
  <si>
    <t>TAS_fish8_t2_202</t>
  </si>
  <si>
    <t>TAS_fish37_t2_20</t>
  </si>
  <si>
    <t>TAS_fish46_t3_20</t>
  </si>
  <si>
    <t>TAS_fish57_t1_20</t>
  </si>
  <si>
    <t>Category</t>
  </si>
  <si>
    <t>2 = extrastriola</t>
  </si>
  <si>
    <t>Fish yaw correction: due to embedding plane, right otolith is rostral to left otolith, calculated yaw is about 0.039 rad across several measurements so all numbers are corrected for that bc positions were calculated in absolute space</t>
  </si>
  <si>
    <t>Kinocilium length</t>
  </si>
  <si>
    <t>Stereocilium length</t>
  </si>
  <si>
    <t>1 = immature</t>
  </si>
  <si>
    <t>3 = striola</t>
  </si>
  <si>
    <t>Tuning (radians), positive values</t>
  </si>
  <si>
    <t>Figures 2a, 5b, c, d</t>
  </si>
  <si>
    <t>Myelinated</t>
  </si>
  <si>
    <t>Y</t>
  </si>
  <si>
    <t>N</t>
  </si>
  <si>
    <t>All XYZ values in nm. Increases in X = lateral, increases in Y = ventral, increases in Z = rostral</t>
  </si>
  <si>
    <t>Fig. 2g, 5f, g, h</t>
  </si>
  <si>
    <t>Number of ribbon HC synapses</t>
  </si>
  <si>
    <t>Unmyelinated</t>
  </si>
  <si>
    <t>Striolar</t>
  </si>
  <si>
    <t>Extrastriolar</t>
  </si>
  <si>
    <t>Immature</t>
  </si>
  <si>
    <t>Percentages for figure</t>
  </si>
  <si>
    <t xml:space="preserve"> Ear_AnteriorMacula_R_01</t>
  </si>
  <si>
    <t xml:space="preserve"> Ear_AnteriorMacula_R_02</t>
  </si>
  <si>
    <t xml:space="preserve"> Ear_AnteriorMacula_R_03</t>
  </si>
  <si>
    <t xml:space="preserve"> Ear_AnteriorMacula_R_04</t>
  </si>
  <si>
    <t xml:space="preserve"> Ear_AnteriorMacula_R_05</t>
  </si>
  <si>
    <t xml:space="preserve"> Ear_AnteriorMacula_R_06</t>
  </si>
  <si>
    <t xml:space="preserve"> Ear_AnteriorMacula_R_07</t>
  </si>
  <si>
    <t xml:space="preserve"> Ear_AnteriorMacula_R_08</t>
  </si>
  <si>
    <t xml:space="preserve"> Ear_AnteriorMacula_R_09</t>
  </si>
  <si>
    <t xml:space="preserve"> Ear_AnteriorMacula_R_10</t>
  </si>
  <si>
    <t xml:space="preserve"> Ear_AnteriorMacula_R_11</t>
  </si>
  <si>
    <t xml:space="preserve"> Ear_AnteriorMacula_R_12</t>
  </si>
  <si>
    <t xml:space="preserve"> Ear_AnteriorMacula_R_13</t>
  </si>
  <si>
    <t xml:space="preserve"> Ear_AnteriorMacula_R_14</t>
  </si>
  <si>
    <t xml:space="preserve"> Ear_AnteriorMacula_R_15</t>
  </si>
  <si>
    <t xml:space="preserve"> Ear_AnteriorMacula_R_16</t>
  </si>
  <si>
    <t xml:space="preserve"> ear_anteriormacula_R_17</t>
  </si>
  <si>
    <t xml:space="preserve"> ear_anteriormacula_R_unmyelinated01</t>
  </si>
  <si>
    <t xml:space="preserve"> ear_anteriormacula_R_unmyelinated02</t>
  </si>
  <si>
    <t xml:space="preserve"> ear_anteriormacula_R_unmyelinated03</t>
  </si>
  <si>
    <t xml:space="preserve"> ear_anteriormacula_R_unmyelinated04</t>
  </si>
  <si>
    <t xml:space="preserve"> ear_anteriormacula_R_unmyelinated05</t>
  </si>
  <si>
    <t xml:space="preserve"> ear_anteriormacula_R_unmyelinated06</t>
  </si>
  <si>
    <t xml:space="preserve"> ear_anteriormacula_R_unmyelinated07</t>
  </si>
  <si>
    <t xml:space="preserve"> ear_anteriormacula_R_unmyelinated08</t>
  </si>
  <si>
    <t xml:space="preserve"> ear_anteriormacula_R_unmyelinated09</t>
  </si>
  <si>
    <t xml:space="preserve"> ear_anteriormacula_R_unmyelinated10</t>
  </si>
  <si>
    <t xml:space="preserve"> ear_anteriormacula_R_unmyelinated11</t>
  </si>
  <si>
    <t xml:space="preserve"> ear_anteriormacula_R_unmyelinated12</t>
  </si>
  <si>
    <t xml:space="preserve"> ear_anteriormacula_R_unmyelinated13</t>
  </si>
  <si>
    <t xml:space="preserve"> ear_anteriormacula_R_unmyelinated14</t>
  </si>
  <si>
    <t xml:space="preserve"> ear_anteriormacula_R_unmyelinated15</t>
  </si>
  <si>
    <t xml:space="preserve"> ear_anteriormacula_R_unmyelinated16</t>
  </si>
  <si>
    <t xml:space="preserve"> ear_anteriormacula_R_unmyelinated17</t>
  </si>
  <si>
    <t xml:space="preserve"> ear_anteriormacula_R_unmyelinated18</t>
  </si>
  <si>
    <t xml:space="preserve"> ear_anteriormacula_R_unmyelinated19</t>
  </si>
  <si>
    <t xml:space="preserve"> ear_anteriormacula_R_unmyelinated20</t>
  </si>
  <si>
    <t xml:space="preserve"> ear_anteriormacula_R_unmyelinated21</t>
  </si>
  <si>
    <t xml:space="preserve"> ear_anteriormacula_R_unmyelinated22</t>
  </si>
  <si>
    <t xml:space="preserve"> ear_anteriormacula_R_unmyelinated23</t>
  </si>
  <si>
    <t xml:space="preserve"> ear_anteriormacula_R_unmyelinated24</t>
  </si>
  <si>
    <t xml:space="preserve"> ear_anteriormacula_R_unmyelinated25</t>
  </si>
  <si>
    <t xml:space="preserve"> ear_anteriormacula_R_unmyelinated26</t>
  </si>
  <si>
    <t xml:space="preserve"> ear_anteriormacula_R_unmyelinated27</t>
  </si>
  <si>
    <t xml:space="preserve"> ear_anteriormacula_R_unmyelinated28</t>
  </si>
  <si>
    <t xml:space="preserve"> ear_anteriormacula_R_unmyelinated29</t>
  </si>
  <si>
    <t xml:space="preserve"> ear_anteriormacula_R_unmyelinated30</t>
  </si>
  <si>
    <t xml:space="preserve"> ear_anteriormacula_R_unmyelinated31</t>
  </si>
  <si>
    <t xml:space="preserve"> ear_anteriormacula_R_unmyelinated32</t>
  </si>
  <si>
    <t xml:space="preserve"> ear_anteriormacula_R_unmyelinated33</t>
  </si>
  <si>
    <t xml:space="preserve"> ear_anteriormacula_R_unmyelinated34</t>
  </si>
  <si>
    <t xml:space="preserve"> ear_anteriormacula_R_unmyelinated35</t>
  </si>
  <si>
    <t xml:space="preserve"> ear_anteriormacula_R_unmyelinated36</t>
  </si>
  <si>
    <t xml:space="preserve"> ear_anteriormacula_R_unmyelinated37</t>
  </si>
  <si>
    <t xml:space="preserve"> ear_anteriormacula_R_unmyelinated38</t>
  </si>
  <si>
    <t xml:space="preserve"> ear_anteriormacula_R_unmyelinated39</t>
  </si>
  <si>
    <t xml:space="preserve"> ear_anteriormacula_R_unmyelinated40</t>
  </si>
  <si>
    <t xml:space="preserve"> ear_anteriormacula_R_unmyelinated41</t>
  </si>
  <si>
    <t xml:space="preserve"> ear_anteriormacula_R_unmyelinated42</t>
  </si>
  <si>
    <t xml:space="preserve"> ear_anteriormacula_R_unmyelinated43</t>
  </si>
  <si>
    <t xml:space="preserve"> ear_anteriormacula_R_unmyelinated44</t>
  </si>
  <si>
    <t xml:space="preserve"> ear_anteriormacula_R_unmyelinated45</t>
  </si>
  <si>
    <t xml:space="preserve"> ear_anteriormacula_R_unmyelinated46</t>
  </si>
  <si>
    <t xml:space="preserve"> ear_anteriormacula_R_unmyelinated47</t>
  </si>
  <si>
    <t xml:space="preserve"> ear_anteriormacula_R_unmyelinated48</t>
  </si>
  <si>
    <t xml:space="preserve"> ear_anteriormacula_R_unmyelinated49</t>
  </si>
  <si>
    <t xml:space="preserve"> ear_anteriormacula_R_unmyelinated50</t>
  </si>
  <si>
    <t xml:space="preserve"> ear_anteriormacula_R_unmyelinated51</t>
  </si>
  <si>
    <t xml:space="preserve"> ear_anteriormacula_R_unmyelinated52</t>
  </si>
  <si>
    <t xml:space="preserve"> ear_anteriormacula_R_unmyelinated53</t>
  </si>
  <si>
    <t xml:space="preserve"> ear_anteriormacula_R_unmyelinated54</t>
  </si>
  <si>
    <t xml:space="preserve"> ear_anteriormacula_R_unmyelinated55</t>
  </si>
  <si>
    <t xml:space="preserve"> ear_anteriormacula_R_unmyelinated56</t>
  </si>
  <si>
    <t xml:space="preserve"> ear_anteriormacula_R_unmyelinated57</t>
  </si>
  <si>
    <t xml:space="preserve"> ear_anteriormacula_R_unmyelinated58</t>
  </si>
  <si>
    <t xml:space="preserve"> ear_anteriormacula_R_unmyelinated59</t>
  </si>
  <si>
    <t xml:space="preserve"> ear_anteriormacula_R_unmyelinated60</t>
  </si>
  <si>
    <t xml:space="preserve"> ear_anteriormacula_R_unmyelinated61</t>
  </si>
  <si>
    <t xml:space="preserve"> ear_anteriormacula_R_unmyelinated62</t>
  </si>
  <si>
    <t xml:space="preserve"> ear_anteriormacula_R_unmyelinated63</t>
  </si>
  <si>
    <t xml:space="preserve"> ear_anteriormacula_R_unmyelinated64</t>
  </si>
  <si>
    <t xml:space="preserve"> ear_anteriormacula_R_unmyelinated65</t>
  </si>
  <si>
    <t xml:space="preserve"> ear_anteriormacula_R_unmyelinated66</t>
  </si>
  <si>
    <t xml:space="preserve"> ear_anteriormacula_R_unmyelinated67</t>
  </si>
  <si>
    <t xml:space="preserve"> ear_anteriormacula_R_unmyelinated68</t>
  </si>
  <si>
    <t xml:space="preserve"> ear_anteriormacula_R_unmyelinated69</t>
  </si>
  <si>
    <t xml:space="preserve"> ear_anteriormacula_R_unmyelinated70</t>
  </si>
  <si>
    <t xml:space="preserve"> ear_anteriormacula_R_unmyelinated71</t>
  </si>
  <si>
    <t xml:space="preserve"> ear_anteriormacula_R_unmyelinated72</t>
  </si>
  <si>
    <t xml:space="preserve"> ear_anteriormacula_R_unmyelinated73</t>
  </si>
  <si>
    <t xml:space="preserve"> ear_anteriormacula_R_unmyelinated74</t>
  </si>
  <si>
    <t xml:space="preserve"> ear_anteriormacula_R_unmyelinated75</t>
  </si>
  <si>
    <t xml:space="preserve"> ear_anteriormacula_R_unmyelinated76</t>
  </si>
  <si>
    <t xml:space="preserve"> ear_anteriormacula_R_unmyelinated77</t>
  </si>
  <si>
    <t xml:space="preserve"> ear_anteriormacula_R_unmyelinated78</t>
  </si>
  <si>
    <t xml:space="preserve"> ear_anteriormacula_R_unmyelinated79</t>
  </si>
  <si>
    <t xml:space="preserve"> ear_anteriormacula_R_unmyelinated80</t>
  </si>
  <si>
    <t xml:space="preserve"> ear_anteriormacula_R_unmyelinated81</t>
  </si>
  <si>
    <t xml:space="preserve"> ear_anteriormacula_R_unmyelinated82</t>
  </si>
  <si>
    <t xml:space="preserve"> ear_anteriormacula_R_unmyelinated83</t>
  </si>
  <si>
    <t xml:space="preserve"> ear_anteriormacula_R_unmyelinated84</t>
  </si>
  <si>
    <t xml:space="preserve"> ear_anteriormacula_R_unmyelinated85</t>
  </si>
  <si>
    <t xml:space="preserve"> ear_anteriormacula_R_unmyelinated86</t>
  </si>
  <si>
    <t xml:space="preserve"> ear_anteriormacula_R_unmyelinated87</t>
  </si>
  <si>
    <t xml:space="preserve"> ear_anteriormacula_R_unmyelinated88</t>
  </si>
  <si>
    <t xml:space="preserve"> ear_anteriormacula_R_unmyelinated89</t>
  </si>
  <si>
    <t>Hair cell tuning</t>
  </si>
  <si>
    <t># ribbons from each HC type</t>
  </si>
  <si>
    <t>Percent from</t>
  </si>
  <si>
    <t>Myelinated afferents</t>
  </si>
  <si>
    <t>Myelinated average</t>
  </si>
  <si>
    <t>Unmyelinated average</t>
  </si>
  <si>
    <t>Percentages represent the average of percentages across afferents, as shown in the table below</t>
  </si>
  <si>
    <t>Very similar results are obtained using counts instead of percentages</t>
  </si>
  <si>
    <t>Fig. 5i, j</t>
  </si>
  <si>
    <t>X position of each afferent</t>
  </si>
  <si>
    <t>(mediolateral axis; higher numbers are more lateral)</t>
  </si>
  <si>
    <t>Numbers are in nm</t>
  </si>
  <si>
    <t>excluded, no soma</t>
  </si>
  <si>
    <t>Commissural</t>
  </si>
  <si>
    <t>VOR</t>
  </si>
  <si>
    <t>VS</t>
  </si>
  <si>
    <t>Mauthner</t>
  </si>
  <si>
    <t>vestibular_commissural_R_01</t>
  </si>
  <si>
    <t>vestibular_commissural_R_02</t>
  </si>
  <si>
    <t>vestibular_commissural_R_03</t>
  </si>
  <si>
    <t>vestibular_commissural_R_04</t>
  </si>
  <si>
    <t>These numbers are averages from the per-target-neuron data, which is listed below</t>
  </si>
  <si>
    <t>Fig. 6b, c</t>
  </si>
  <si>
    <t>Fig 6b</t>
  </si>
  <si>
    <t>Fig 6c</t>
  </si>
  <si>
    <t>Raw numbers of synaptic inputs from myelinated vs unmyelinated afferents, used for chi-squared test</t>
  </si>
  <si>
    <t>Each number below is a weighted average. For each central target, we multiplied the number of synaptic inputs from the first afferent by the fraction-striolar input for that afferent (see Fig 5i), then summed those values over all afferent inputs, and divided by total number of afferent synaptic contacts</t>
  </si>
  <si>
    <t>Figure</t>
  </si>
  <si>
    <t>URL</t>
  </si>
  <si>
    <t>https://zf.hms.harvard.edu/?pid=1&amp;zp=565620&amp;yp=281414.1835461399&amp;xp=420331.15717498504&amp;tool=navigator&amp;sid0=1&amp;s0=-1&amp;sg=1&amp;sgs=-1</t>
  </si>
  <si>
    <t>1c</t>
  </si>
  <si>
    <t>https://zf.hms.harvard.edu/?pid=1&amp;zp=561600&amp;yp=267525.6835461399&amp;xp=361449.55717498506&amp;tool=navigator&amp;sid0=1&amp;s0=-3&amp;sg=1&amp;sgs=-3</t>
  </si>
  <si>
    <t>1d</t>
  </si>
  <si>
    <t>https://zf.hms.harvard.edu/?pid=1&amp;zp=515100&amp;yp=148911.82515817852&amp;xp=347385.7746540175&amp;tool=tracingtool&amp;active_skeleton_id=43079&amp;active_node_id=2456877&amp;sid0=1&amp;s0=-3.5&amp;sg=1&amp;sgs=-3.5</t>
  </si>
  <si>
    <t>3a</t>
  </si>
  <si>
    <t>https://zf.hms.harvard.edu/?pid=1&amp;zp=547080&amp;yp=143721.6251581784&amp;xp=359200.8246540176&amp;tool=tracingtool&amp;active_skeleton_id=43079&amp;active_node_id=2456877&amp;sid0=1&amp;s0=-4&amp;sg=1&amp;sgs=-4</t>
  </si>
  <si>
    <t>4a</t>
  </si>
  <si>
    <t>2a</t>
  </si>
  <si>
    <t>https://zf.hms.harvard.edu/?pid=1&amp;zp=550860&amp;yp=291276.80000000005&amp;xp=423814.38000000006&amp;tool=navigator&amp;sid0=1&amp;s0=-3&amp;sg=1&amp;sgs=-3</t>
  </si>
  <si>
    <t>Figs 1c, d, 2a, 3a, 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</si>
</sst>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0" tint="-0.249977111117893"/>
      <name val="Calibri"/>
      <family val="2"/>
      <scheme val="minor"/>
    </font>
    <font>
      <b/>
      <sz val="12"/>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6" fillId="0" borderId="0" xfId="0" applyFont="1"/>
    <xf numFmtId="0" fontId="0" fillId="0" borderId="0" xfId="0" applyAlignment="1">
      <alignment horizontal="center"/>
    </xf>
    <xf numFmtId="0" fontId="0" fillId="0" borderId="0" xfId="0" applyAlignment="1">
      <alignment horizontal="center"/>
    </xf>
    <xf numFmtId="164" fontId="0" fillId="0" borderId="0" xfId="0" applyNumberFormat="1"/>
    <xf numFmtId="0" fontId="16" fillId="0" borderId="0" xfId="0" applyFont="1" applyAlignment="1">
      <alignment horizontal="right" textRotation="180"/>
    </xf>
    <xf numFmtId="0" fontId="18" fillId="0" borderId="0" xfId="0" applyFont="1" applyAlignment="1">
      <alignment horizontal="right" textRotation="180"/>
    </xf>
    <xf numFmtId="0" fontId="16" fillId="0" borderId="0" xfId="0" applyFont="1" applyAlignment="1">
      <alignment textRotation="180"/>
    </xf>
    <xf numFmtId="0" fontId="0" fillId="33" borderId="0" xfId="0" applyFill="1"/>
    <xf numFmtId="0" fontId="16" fillId="33" borderId="0" xfId="0" applyFont="1" applyFill="1" applyAlignment="1">
      <alignment horizontal="right" textRotation="180"/>
    </xf>
    <xf numFmtId="0" fontId="14"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hc_similarity_quantify" connectionId="2" xr16:uid="{E440004C-B44C-844A-8E07-C3FE2B7A7A8E}"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aff_similarity_quantify" connectionId="1" xr16:uid="{70DBC2DE-C141-7C48-8378-2FA2649AE61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E782-E1BF-E54C-80F1-9D5D3EE88A1C}">
  <dimension ref="A1:C8"/>
  <sheetViews>
    <sheetView tabSelected="1" workbookViewId="0">
      <selection activeCell="B11" sqref="B11"/>
    </sheetView>
  </sheetViews>
  <sheetFormatPr baseColWidth="10" defaultRowHeight="16" x14ac:dyDescent="0.2"/>
  <sheetData>
    <row r="1" spans="1:3" x14ac:dyDescent="0.2">
      <c r="A1" t="s">
        <v>720</v>
      </c>
    </row>
    <row r="3" spans="1:3" x14ac:dyDescent="0.2">
      <c r="B3" s="1" t="s">
        <v>708</v>
      </c>
      <c r="C3" s="1" t="s">
        <v>709</v>
      </c>
    </row>
    <row r="4" spans="1:3" x14ac:dyDescent="0.2">
      <c r="B4" t="s">
        <v>711</v>
      </c>
      <c r="C4" t="s">
        <v>710</v>
      </c>
    </row>
    <row r="5" spans="1:3" x14ac:dyDescent="0.2">
      <c r="B5" t="s">
        <v>713</v>
      </c>
      <c r="C5" t="s">
        <v>712</v>
      </c>
    </row>
    <row r="6" spans="1:3" x14ac:dyDescent="0.2">
      <c r="B6" t="s">
        <v>718</v>
      </c>
      <c r="C6" t="s">
        <v>719</v>
      </c>
    </row>
    <row r="7" spans="1:3" x14ac:dyDescent="0.2">
      <c r="B7" t="s">
        <v>715</v>
      </c>
      <c r="C7" t="s">
        <v>714</v>
      </c>
    </row>
    <row r="8" spans="1:3" x14ac:dyDescent="0.2">
      <c r="B8" t="s">
        <v>717</v>
      </c>
      <c r="C8" t="s">
        <v>716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5"/>
  <sheetViews>
    <sheetView workbookViewId="0">
      <selection activeCell="F2" sqref="F2"/>
    </sheetView>
  </sheetViews>
  <sheetFormatPr baseColWidth="10" defaultRowHeight="16" x14ac:dyDescent="0.2"/>
  <cols>
    <col min="1" max="1" width="13.6640625" customWidth="1"/>
    <col min="6" max="6" width="17.1640625" customWidth="1"/>
    <col min="10" max="10" width="18.33203125" customWidth="1"/>
    <col min="17" max="17" width="20.5" customWidth="1"/>
    <col min="18" max="18" width="22" customWidth="1"/>
    <col min="19" max="19" width="16.5" customWidth="1"/>
  </cols>
  <sheetData>
    <row r="1" spans="1:19" x14ac:dyDescent="0.2">
      <c r="A1" s="1" t="s">
        <v>563</v>
      </c>
      <c r="K1" t="s">
        <v>560</v>
      </c>
    </row>
    <row r="2" spans="1:19" x14ac:dyDescent="0.2">
      <c r="F2" t="s">
        <v>567</v>
      </c>
      <c r="K2" t="s">
        <v>556</v>
      </c>
    </row>
    <row r="3" spans="1:19" x14ac:dyDescent="0.2">
      <c r="C3" s="3" t="s">
        <v>8</v>
      </c>
      <c r="D3" s="3"/>
      <c r="E3" s="3"/>
      <c r="F3" s="2"/>
      <c r="G3" s="3" t="s">
        <v>12</v>
      </c>
      <c r="H3" s="3"/>
      <c r="I3" s="3"/>
      <c r="K3" t="s">
        <v>561</v>
      </c>
      <c r="Q3" t="s">
        <v>557</v>
      </c>
    </row>
    <row r="4" spans="1:19" s="1" customFormat="1" x14ac:dyDescent="0.2">
      <c r="A4" s="1" t="s">
        <v>0</v>
      </c>
      <c r="B4" s="1" t="s">
        <v>1</v>
      </c>
      <c r="C4" s="1" t="s">
        <v>9</v>
      </c>
      <c r="D4" s="1" t="s">
        <v>10</v>
      </c>
      <c r="E4" s="1" t="s">
        <v>11</v>
      </c>
      <c r="F4" s="1" t="s">
        <v>558</v>
      </c>
      <c r="G4" s="1" t="s">
        <v>13</v>
      </c>
      <c r="H4" s="1" t="s">
        <v>14</v>
      </c>
      <c r="I4" s="1" t="s">
        <v>15</v>
      </c>
      <c r="J4" s="1" t="s">
        <v>559</v>
      </c>
      <c r="K4" s="1" t="s">
        <v>555</v>
      </c>
      <c r="L4" s="1" t="s">
        <v>2</v>
      </c>
      <c r="M4" s="1" t="s">
        <v>3</v>
      </c>
      <c r="N4" s="1" t="s">
        <v>4</v>
      </c>
      <c r="O4" s="1" t="s">
        <v>6</v>
      </c>
      <c r="P4" s="1" t="s">
        <v>5</v>
      </c>
      <c r="Q4" s="1" t="s">
        <v>7</v>
      </c>
      <c r="R4" s="1" t="s">
        <v>562</v>
      </c>
      <c r="S4" s="1" t="s">
        <v>20</v>
      </c>
    </row>
    <row r="5" spans="1:19" x14ac:dyDescent="0.2">
      <c r="A5">
        <v>1</v>
      </c>
      <c r="B5">
        <f>F5/J5</f>
        <v>1.32261787488407</v>
      </c>
      <c r="C5">
        <v>425517.84</v>
      </c>
      <c r="D5">
        <v>277453.21999999997</v>
      </c>
      <c r="E5">
        <v>545880</v>
      </c>
      <c r="F5">
        <v>8.5671599999999994</v>
      </c>
      <c r="G5">
        <v>423872.8</v>
      </c>
      <c r="H5">
        <v>283996.46999999997</v>
      </c>
      <c r="I5">
        <v>542400</v>
      </c>
      <c r="J5">
        <v>6.4774264454507904</v>
      </c>
      <c r="K5">
        <v>3</v>
      </c>
      <c r="L5">
        <v>1087.0128571428399</v>
      </c>
      <c r="M5">
        <v>184.955714285548</v>
      </c>
      <c r="N5">
        <v>-180</v>
      </c>
      <c r="O5">
        <v>-0.164102307097796</v>
      </c>
      <c r="P5">
        <v>-9.4023696050634307</v>
      </c>
      <c r="Q5">
        <f>O5-0.039</f>
        <v>-0.203102307097796</v>
      </c>
      <c r="R5">
        <f>IF(Q5&gt;0,Q5,2*PI() + Q5)</f>
        <v>6.0800830000817898</v>
      </c>
      <c r="S5">
        <v>18</v>
      </c>
    </row>
    <row r="6" spans="1:19" x14ac:dyDescent="0.2">
      <c r="A6">
        <v>2</v>
      </c>
      <c r="B6">
        <f t="shared" ref="B6:B69" si="0">F6/J6</f>
        <v>1.360420007106834</v>
      </c>
      <c r="C6">
        <v>422500.1</v>
      </c>
      <c r="D6">
        <v>277632.59999999998</v>
      </c>
      <c r="E6">
        <v>550920</v>
      </c>
      <c r="F6">
        <v>7.1031399999999998</v>
      </c>
      <c r="G6">
        <v>422123.38</v>
      </c>
      <c r="H6">
        <v>285466.53000000003</v>
      </c>
      <c r="I6">
        <v>547260</v>
      </c>
      <c r="J6">
        <v>5.2212845760082898</v>
      </c>
      <c r="K6">
        <v>3</v>
      </c>
      <c r="L6">
        <v>881.75230769201903</v>
      </c>
      <c r="M6">
        <v>45.1369230767014</v>
      </c>
      <c r="N6">
        <v>-281.53846153849702</v>
      </c>
      <c r="O6">
        <v>-0.30906263967472802</v>
      </c>
      <c r="P6">
        <v>-17.707984858534399</v>
      </c>
      <c r="Q6">
        <f>O6-0.039</f>
        <v>-0.348062639674728</v>
      </c>
      <c r="R6">
        <f>IF(Q6&gt;0,Q6,2*PI() + Q6)</f>
        <v>5.9351226675048583</v>
      </c>
      <c r="S6">
        <v>15</v>
      </c>
    </row>
    <row r="7" spans="1:19" x14ac:dyDescent="0.2">
      <c r="A7">
        <v>3</v>
      </c>
      <c r="B7">
        <f t="shared" si="0"/>
        <v>1.3247661663367774</v>
      </c>
      <c r="C7">
        <v>422627.53</v>
      </c>
      <c r="D7">
        <v>279297.09999999998</v>
      </c>
      <c r="E7">
        <v>565500</v>
      </c>
      <c r="F7">
        <v>7.5848699999999996</v>
      </c>
      <c r="G7">
        <v>421904.94</v>
      </c>
      <c r="H7">
        <v>286900.06</v>
      </c>
      <c r="I7">
        <v>565500</v>
      </c>
      <c r="J7">
        <v>5.7254406043396804</v>
      </c>
      <c r="K7">
        <v>3</v>
      </c>
      <c r="L7">
        <v>825.78400000021804</v>
      </c>
      <c r="M7">
        <v>347.115200000117</v>
      </c>
      <c r="N7">
        <v>244.80000000004699</v>
      </c>
      <c r="O7">
        <v>0.28819265831650498</v>
      </c>
      <c r="P7">
        <v>16.512223008191501</v>
      </c>
      <c r="Q7">
        <f>O7-0.039</f>
        <v>0.24919265831650497</v>
      </c>
      <c r="R7">
        <f>IF(Q7&gt;0,Q7,2*PI() + Q7)</f>
        <v>0.24919265831650497</v>
      </c>
      <c r="S7">
        <v>15</v>
      </c>
    </row>
    <row r="8" spans="1:19" x14ac:dyDescent="0.2">
      <c r="A8">
        <v>4</v>
      </c>
      <c r="B8">
        <f t="shared" si="0"/>
        <v>1.5164986746702258</v>
      </c>
      <c r="C8">
        <v>426422.9</v>
      </c>
      <c r="D8">
        <v>279315.20000000001</v>
      </c>
      <c r="E8">
        <v>552180</v>
      </c>
      <c r="F8">
        <v>9.0121099999999998</v>
      </c>
      <c r="G8">
        <v>426579.22</v>
      </c>
      <c r="H8">
        <v>286112.56</v>
      </c>
      <c r="I8">
        <v>550980</v>
      </c>
      <c r="J8">
        <v>5.9427087873715099</v>
      </c>
      <c r="K8">
        <v>3</v>
      </c>
      <c r="L8">
        <v>609.56148148136003</v>
      </c>
      <c r="M8">
        <v>197.402962962922</v>
      </c>
      <c r="N8">
        <v>-195.55555555550399</v>
      </c>
      <c r="O8">
        <v>-0.31044071039182197</v>
      </c>
      <c r="P8">
        <v>-17.7869424944945</v>
      </c>
      <c r="Q8">
        <f>O8-0.039</f>
        <v>-0.34944071039182195</v>
      </c>
      <c r="R8">
        <f>IF(Q8&gt;0,Q8,2*PI() + Q8)</f>
        <v>5.933744596787764</v>
      </c>
      <c r="S8">
        <v>8</v>
      </c>
    </row>
    <row r="9" spans="1:19" x14ac:dyDescent="0.2">
      <c r="A9">
        <v>5</v>
      </c>
      <c r="B9">
        <f t="shared" si="0"/>
        <v>1.2647768416711931</v>
      </c>
      <c r="C9">
        <v>424347.34</v>
      </c>
      <c r="D9">
        <v>279097.40000000002</v>
      </c>
      <c r="E9">
        <v>556140</v>
      </c>
      <c r="F9">
        <v>8.4117300000000004</v>
      </c>
      <c r="G9">
        <v>422683.72</v>
      </c>
      <c r="H9">
        <v>287303.46999999997</v>
      </c>
      <c r="I9">
        <v>553320</v>
      </c>
      <c r="J9">
        <v>6.6507621920759501</v>
      </c>
      <c r="K9">
        <v>3</v>
      </c>
      <c r="L9">
        <v>881.12599999981501</v>
      </c>
      <c r="M9">
        <v>244.67399999982399</v>
      </c>
      <c r="N9">
        <v>-126</v>
      </c>
      <c r="O9">
        <v>-0.142035919615387</v>
      </c>
      <c r="P9">
        <v>-8.1380587332211096</v>
      </c>
      <c r="Q9">
        <f>O9-0.039</f>
        <v>-0.18103591961538701</v>
      </c>
      <c r="R9">
        <f>IF(Q9&gt;0,Q9,2*PI() + Q9)</f>
        <v>6.1021493875641992</v>
      </c>
      <c r="S9">
        <v>13</v>
      </c>
    </row>
    <row r="10" spans="1:19" x14ac:dyDescent="0.2">
      <c r="A10">
        <v>6</v>
      </c>
      <c r="B10">
        <f t="shared" si="0"/>
        <v>1.3836091723747539</v>
      </c>
      <c r="C10">
        <v>424552.38</v>
      </c>
      <c r="D10">
        <v>279217.21999999997</v>
      </c>
      <c r="E10">
        <v>560160</v>
      </c>
      <c r="F10">
        <v>8.7537099999999999</v>
      </c>
      <c r="G10">
        <v>425299.75</v>
      </c>
      <c r="H10">
        <v>286711.8</v>
      </c>
      <c r="I10">
        <v>559440</v>
      </c>
      <c r="J10">
        <v>6.3267215733873696</v>
      </c>
      <c r="K10">
        <v>3</v>
      </c>
      <c r="L10">
        <v>650.272857143078</v>
      </c>
      <c r="M10">
        <v>71.030000000202605</v>
      </c>
      <c r="N10">
        <v>62.142857142840498</v>
      </c>
      <c r="O10">
        <v>9.5274948757766001E-2</v>
      </c>
      <c r="P10">
        <v>5.4588524571451797</v>
      </c>
      <c r="Q10">
        <f>O10-0.039</f>
        <v>5.6274948757766001E-2</v>
      </c>
      <c r="R10">
        <f>IF(Q10&gt;0,Q10,2*PI() + Q10)</f>
        <v>5.6274948757766001E-2</v>
      </c>
      <c r="S10">
        <v>8</v>
      </c>
    </row>
    <row r="11" spans="1:19" x14ac:dyDescent="0.2">
      <c r="A11">
        <v>7</v>
      </c>
      <c r="B11">
        <f t="shared" si="0"/>
        <v>2.0040354349624092</v>
      </c>
      <c r="C11">
        <v>418557.22</v>
      </c>
      <c r="D11">
        <v>277257.53000000003</v>
      </c>
      <c r="E11">
        <v>554220</v>
      </c>
      <c r="F11">
        <v>8.6682299999999994</v>
      </c>
      <c r="G11">
        <v>416353.97</v>
      </c>
      <c r="H11">
        <v>283821.75</v>
      </c>
      <c r="I11">
        <v>551100</v>
      </c>
      <c r="J11">
        <v>4.3253875898469802</v>
      </c>
      <c r="K11">
        <v>2</v>
      </c>
      <c r="L11">
        <v>654.63090909092</v>
      </c>
      <c r="M11">
        <v>102.03818181820699</v>
      </c>
      <c r="N11">
        <v>-103.636363636353</v>
      </c>
      <c r="O11">
        <v>-0.15700961278765799</v>
      </c>
      <c r="P11">
        <v>-8.9959881557161001</v>
      </c>
      <c r="Q11">
        <f>O11-0.039</f>
        <v>-0.19600961278765799</v>
      </c>
      <c r="R11">
        <f>IF(Q11&gt;0,Q11,2*PI() + Q11)</f>
        <v>6.0871756943919282</v>
      </c>
      <c r="S11">
        <v>24</v>
      </c>
    </row>
    <row r="12" spans="1:19" x14ac:dyDescent="0.2">
      <c r="A12">
        <v>8</v>
      </c>
      <c r="B12">
        <f t="shared" si="0"/>
        <v>1.9385165767117416</v>
      </c>
      <c r="C12">
        <v>417225.12</v>
      </c>
      <c r="D12">
        <v>275984.15999999997</v>
      </c>
      <c r="E12">
        <v>546960</v>
      </c>
      <c r="F12">
        <v>8.3944700000000001</v>
      </c>
      <c r="G12">
        <v>416022.94</v>
      </c>
      <c r="H12">
        <v>283151.75</v>
      </c>
      <c r="I12">
        <v>543360</v>
      </c>
      <c r="J12">
        <v>4.3303576048028098</v>
      </c>
      <c r="K12">
        <v>2</v>
      </c>
      <c r="L12">
        <v>723.90000000008104</v>
      </c>
      <c r="M12">
        <v>197.350769230921</v>
      </c>
      <c r="N12">
        <v>-230.76923076924899</v>
      </c>
      <c r="O12">
        <v>-0.30860138000203902</v>
      </c>
      <c r="P12">
        <v>-17.6815566260297</v>
      </c>
      <c r="Q12">
        <f>O12-0.039</f>
        <v>-0.347601380002039</v>
      </c>
      <c r="R12">
        <f>IF(Q12&gt;0,Q12,2*PI() + Q12)</f>
        <v>5.9355839271775475</v>
      </c>
      <c r="S12">
        <v>16</v>
      </c>
    </row>
    <row r="13" spans="1:19" x14ac:dyDescent="0.2">
      <c r="A13">
        <v>9</v>
      </c>
      <c r="B13">
        <f t="shared" si="0"/>
        <v>2.2870669921505997</v>
      </c>
      <c r="C13">
        <v>419684.56</v>
      </c>
      <c r="D13">
        <v>278070.46999999997</v>
      </c>
      <c r="E13">
        <v>557220</v>
      </c>
      <c r="F13">
        <v>5.3257300000000001</v>
      </c>
      <c r="G13">
        <v>418495.44</v>
      </c>
      <c r="H13">
        <v>284845.96999999997</v>
      </c>
      <c r="I13">
        <v>555180</v>
      </c>
      <c r="J13">
        <v>2.32862877138201</v>
      </c>
      <c r="K13">
        <v>2</v>
      </c>
      <c r="L13">
        <v>487.29575757589203</v>
      </c>
      <c r="M13">
        <v>295.05333333322801</v>
      </c>
      <c r="N13">
        <v>-56.363636363646897</v>
      </c>
      <c r="O13">
        <v>-0.115154456775591</v>
      </c>
      <c r="P13">
        <v>-6.5978643653630504</v>
      </c>
      <c r="Q13">
        <f>O13-0.039</f>
        <v>-0.154154456775591</v>
      </c>
      <c r="R13">
        <f>IF(Q13&gt;0,Q13,2*PI() + Q13)</f>
        <v>6.1290308504039954</v>
      </c>
      <c r="S13">
        <v>5</v>
      </c>
    </row>
    <row r="14" spans="1:19" x14ac:dyDescent="0.2">
      <c r="A14">
        <v>10</v>
      </c>
      <c r="B14">
        <f t="shared" si="0"/>
        <v>2.4728332380336449</v>
      </c>
      <c r="C14">
        <v>406954.28</v>
      </c>
      <c r="D14">
        <v>273908.96999999997</v>
      </c>
      <c r="E14">
        <v>546180</v>
      </c>
      <c r="F14">
        <v>6.36843</v>
      </c>
      <c r="G14">
        <v>403820.12</v>
      </c>
      <c r="H14">
        <v>279206.46999999997</v>
      </c>
      <c r="I14">
        <v>542760</v>
      </c>
      <c r="J14">
        <v>2.5753576513166201</v>
      </c>
      <c r="K14">
        <v>2</v>
      </c>
      <c r="L14">
        <v>539.34117647068297</v>
      </c>
      <c r="M14">
        <v>9.2235294117126596</v>
      </c>
      <c r="N14">
        <v>-303.52941176481499</v>
      </c>
      <c r="O14">
        <v>-0.51260070516116996</v>
      </c>
      <c r="P14">
        <v>-29.369856981164901</v>
      </c>
      <c r="Q14">
        <f>O14-0.039</f>
        <v>-0.55160070516116999</v>
      </c>
      <c r="R14">
        <f>IF(Q14&gt;0,Q14,2*PI() + Q14)</f>
        <v>5.7315846020184162</v>
      </c>
      <c r="S14">
        <v>11</v>
      </c>
    </row>
    <row r="15" spans="1:19" x14ac:dyDescent="0.2">
      <c r="A15">
        <v>11</v>
      </c>
      <c r="B15">
        <f t="shared" si="0"/>
        <v>2.3485260305267421</v>
      </c>
      <c r="C15">
        <v>419568.34</v>
      </c>
      <c r="D15">
        <v>276044.12</v>
      </c>
      <c r="E15">
        <v>543420</v>
      </c>
      <c r="F15">
        <v>5.7662599999999999</v>
      </c>
      <c r="G15">
        <v>418145.44</v>
      </c>
      <c r="H15">
        <v>282058.65999999997</v>
      </c>
      <c r="I15">
        <v>540120</v>
      </c>
      <c r="J15">
        <v>2.4552676551371699</v>
      </c>
      <c r="K15">
        <v>2</v>
      </c>
      <c r="L15">
        <v>496.48333333322103</v>
      </c>
      <c r="M15">
        <v>81.328333333367496</v>
      </c>
      <c r="N15">
        <v>-32.5</v>
      </c>
      <c r="O15">
        <v>-6.53671438200914E-2</v>
      </c>
      <c r="P15">
        <v>-3.7452614597159002</v>
      </c>
      <c r="Q15">
        <f>O15-0.039</f>
        <v>-0.10436714382009141</v>
      </c>
      <c r="R15">
        <f>IF(Q15&gt;0,Q15,2*PI() + Q15)</f>
        <v>6.1788181633594945</v>
      </c>
      <c r="S15">
        <v>2</v>
      </c>
    </row>
    <row r="16" spans="1:19" x14ac:dyDescent="0.2">
      <c r="A16">
        <v>12</v>
      </c>
      <c r="B16">
        <f t="shared" si="0"/>
        <v>1.3868150015881411</v>
      </c>
      <c r="C16">
        <v>420752.56</v>
      </c>
      <c r="D16">
        <v>278191.2</v>
      </c>
      <c r="E16">
        <v>560640</v>
      </c>
      <c r="F16">
        <v>6.7270799999999999</v>
      </c>
      <c r="G16">
        <v>419637.25</v>
      </c>
      <c r="H16">
        <v>285499.38</v>
      </c>
      <c r="I16">
        <v>560340</v>
      </c>
      <c r="J16">
        <v>4.8507407204972104</v>
      </c>
      <c r="K16">
        <v>3</v>
      </c>
      <c r="L16">
        <v>711.75846153846896</v>
      </c>
      <c r="M16">
        <v>95.912307692284202</v>
      </c>
      <c r="N16">
        <v>207.69230769237001</v>
      </c>
      <c r="O16">
        <v>0.28391852373738902</v>
      </c>
      <c r="P16">
        <v>16.267333135737299</v>
      </c>
      <c r="Q16">
        <f>O16-0.039</f>
        <v>0.24491852373738901</v>
      </c>
      <c r="R16">
        <f>IF(Q16&gt;0,Q16,2*PI() + Q16)</f>
        <v>0.24491852373738901</v>
      </c>
      <c r="S16">
        <v>18</v>
      </c>
    </row>
    <row r="17" spans="1:19" x14ac:dyDescent="0.2">
      <c r="A17">
        <v>13</v>
      </c>
      <c r="B17">
        <f t="shared" si="0"/>
        <v>1.9697179440386814</v>
      </c>
      <c r="C17">
        <v>417730.75</v>
      </c>
      <c r="D17">
        <v>277757.15999999997</v>
      </c>
      <c r="E17">
        <v>565020</v>
      </c>
      <c r="F17">
        <v>8.1474200000000003</v>
      </c>
      <c r="G17">
        <v>416230.22</v>
      </c>
      <c r="H17">
        <v>285278.40000000002</v>
      </c>
      <c r="I17">
        <v>565680</v>
      </c>
      <c r="J17">
        <v>4.1363384156894298</v>
      </c>
      <c r="K17">
        <v>2</v>
      </c>
      <c r="L17">
        <v>555.886666666716</v>
      </c>
      <c r="M17">
        <v>59.386666666599901</v>
      </c>
      <c r="N17">
        <v>350</v>
      </c>
      <c r="O17">
        <v>0.56191806335209105</v>
      </c>
      <c r="P17">
        <v>32.195533462239602</v>
      </c>
      <c r="Q17">
        <f>O17-0.039</f>
        <v>0.52291806335209101</v>
      </c>
      <c r="R17">
        <f>IF(Q17&gt;0,Q17,2*PI() + Q17)</f>
        <v>0.52291806335209101</v>
      </c>
      <c r="S17">
        <v>17</v>
      </c>
    </row>
    <row r="18" spans="1:19" x14ac:dyDescent="0.2">
      <c r="A18">
        <v>14</v>
      </c>
      <c r="B18">
        <f t="shared" si="0"/>
        <v>1.4824267301414902</v>
      </c>
      <c r="C18">
        <v>416786.34</v>
      </c>
      <c r="D18">
        <v>278041.65999999997</v>
      </c>
      <c r="E18">
        <v>571440</v>
      </c>
      <c r="F18">
        <v>7.8955900000000003</v>
      </c>
      <c r="G18">
        <v>414721.06</v>
      </c>
      <c r="H18">
        <v>284778.5</v>
      </c>
      <c r="I18">
        <v>572040</v>
      </c>
      <c r="J18">
        <v>5.3261249540787796</v>
      </c>
      <c r="K18">
        <v>3</v>
      </c>
      <c r="L18">
        <v>370.70153846161003</v>
      </c>
      <c r="M18">
        <v>60.178461538394899</v>
      </c>
      <c r="N18">
        <v>602.30769230762996</v>
      </c>
      <c r="O18">
        <v>1.0190803508256501</v>
      </c>
      <c r="P18">
        <v>58.389003087021202</v>
      </c>
      <c r="Q18">
        <f>O18-0.039</f>
        <v>0.98008035082565004</v>
      </c>
      <c r="R18">
        <f>IF(Q18&gt;0,Q18,2*PI() + Q18)</f>
        <v>0.98008035082565004</v>
      </c>
      <c r="S18">
        <v>15</v>
      </c>
    </row>
    <row r="19" spans="1:19" x14ac:dyDescent="0.2">
      <c r="A19">
        <v>15</v>
      </c>
      <c r="B19">
        <f t="shared" si="0"/>
        <v>2.0485549674319006</v>
      </c>
      <c r="C19">
        <v>409334.44</v>
      </c>
      <c r="D19">
        <v>276255.8</v>
      </c>
      <c r="E19">
        <v>572100</v>
      </c>
      <c r="F19">
        <v>7.6380999999999997</v>
      </c>
      <c r="G19">
        <v>405324.62</v>
      </c>
      <c r="H19">
        <v>283972.96999999997</v>
      </c>
      <c r="I19">
        <v>573420</v>
      </c>
      <c r="J19">
        <v>3.7285306576738999</v>
      </c>
      <c r="K19">
        <v>2</v>
      </c>
      <c r="L19">
        <v>520.86758620681906</v>
      </c>
      <c r="M19">
        <v>114.969655172434</v>
      </c>
      <c r="N19">
        <v>331.03448275860899</v>
      </c>
      <c r="O19">
        <v>0.56614590472575499</v>
      </c>
      <c r="P19">
        <v>32.437770929401402</v>
      </c>
      <c r="Q19">
        <f>O19-0.039</f>
        <v>0.52714590472575495</v>
      </c>
      <c r="R19">
        <f>IF(Q19&gt;0,Q19,2*PI() + Q19)</f>
        <v>0.52714590472575495</v>
      </c>
      <c r="S19">
        <v>8</v>
      </c>
    </row>
    <row r="20" spans="1:19" x14ac:dyDescent="0.2">
      <c r="A20">
        <v>16</v>
      </c>
      <c r="B20">
        <f t="shared" si="0"/>
        <v>2.5858660434558529</v>
      </c>
      <c r="C20">
        <v>411746.72</v>
      </c>
      <c r="D20">
        <v>276880.46999999997</v>
      </c>
      <c r="E20">
        <v>571740</v>
      </c>
      <c r="F20">
        <v>8.0526700000000009</v>
      </c>
      <c r="G20">
        <v>409671.8</v>
      </c>
      <c r="H20">
        <v>283991.96999999997</v>
      </c>
      <c r="I20">
        <v>573300</v>
      </c>
      <c r="J20">
        <v>3.1141094954934698</v>
      </c>
      <c r="K20">
        <v>2</v>
      </c>
      <c r="L20">
        <v>384.41833333321802</v>
      </c>
      <c r="M20">
        <v>39.470000000146698</v>
      </c>
      <c r="N20">
        <v>400</v>
      </c>
      <c r="O20">
        <v>0.80525952703206505</v>
      </c>
      <c r="P20">
        <v>46.137972311638201</v>
      </c>
      <c r="Q20">
        <f>O20-0.039</f>
        <v>0.76625952703206501</v>
      </c>
      <c r="R20">
        <f>IF(Q20&gt;0,Q20,2*PI() + Q20)</f>
        <v>0.76625952703206501</v>
      </c>
      <c r="S20">
        <v>16</v>
      </c>
    </row>
    <row r="21" spans="1:19" x14ac:dyDescent="0.2">
      <c r="A21">
        <v>17</v>
      </c>
      <c r="B21">
        <f t="shared" si="0"/>
        <v>1.3705487147464144</v>
      </c>
      <c r="C21">
        <v>412351.2</v>
      </c>
      <c r="D21">
        <v>277597.44</v>
      </c>
      <c r="E21">
        <v>577680</v>
      </c>
      <c r="F21">
        <v>7.7013600000000002</v>
      </c>
      <c r="G21">
        <v>411178.06</v>
      </c>
      <c r="H21">
        <v>284904.59999999998</v>
      </c>
      <c r="I21">
        <v>578160</v>
      </c>
      <c r="J21">
        <v>5.6191800533153202</v>
      </c>
      <c r="K21">
        <v>3</v>
      </c>
      <c r="L21">
        <v>397.36400000017602</v>
      </c>
      <c r="M21">
        <v>80.705333333229603</v>
      </c>
      <c r="N21">
        <v>748</v>
      </c>
      <c r="O21">
        <v>1.0824738448283899</v>
      </c>
      <c r="P21">
        <v>62.021182741966101</v>
      </c>
      <c r="Q21">
        <f>O21-0.039</f>
        <v>1.04347384482839</v>
      </c>
      <c r="R21">
        <f>IF(Q21&gt;0,Q21,2*PI() + Q21)</f>
        <v>1.04347384482839</v>
      </c>
      <c r="S21">
        <v>14</v>
      </c>
    </row>
    <row r="22" spans="1:19" x14ac:dyDescent="0.2">
      <c r="A22">
        <v>18</v>
      </c>
      <c r="B22">
        <f t="shared" si="0"/>
        <v>1.8901122201002589</v>
      </c>
      <c r="C22">
        <v>414717.22</v>
      </c>
      <c r="D22">
        <v>277337.62</v>
      </c>
      <c r="E22">
        <v>569400</v>
      </c>
      <c r="F22">
        <v>1.4132899999999999</v>
      </c>
      <c r="G22">
        <v>411320.1</v>
      </c>
      <c r="H22">
        <v>286829.59999999998</v>
      </c>
      <c r="I22">
        <v>569040</v>
      </c>
      <c r="J22">
        <v>0.74772808988295603</v>
      </c>
      <c r="K22">
        <v>1</v>
      </c>
      <c r="L22">
        <v>294.42782608669899</v>
      </c>
      <c r="M22">
        <v>195.86782608705099</v>
      </c>
      <c r="N22">
        <v>-240</v>
      </c>
      <c r="O22">
        <v>-0.68390492114523604</v>
      </c>
      <c r="P22">
        <v>-39.1848655698494</v>
      </c>
      <c r="Q22">
        <f>O22-0.039</f>
        <v>-0.72290492114523608</v>
      </c>
      <c r="R22">
        <f>IF(Q22&gt;0,Q22,2*PI() + Q22)</f>
        <v>5.5602803860343499</v>
      </c>
      <c r="S22">
        <v>3</v>
      </c>
    </row>
    <row r="23" spans="1:19" x14ac:dyDescent="0.2">
      <c r="A23">
        <v>19</v>
      </c>
      <c r="B23">
        <f t="shared" si="0"/>
        <v>2.0624866003440396</v>
      </c>
      <c r="C23">
        <v>403038.1</v>
      </c>
      <c r="D23">
        <v>274929.90000000002</v>
      </c>
      <c r="E23">
        <v>578100</v>
      </c>
      <c r="F23">
        <v>7.7073600000000004</v>
      </c>
      <c r="G23">
        <v>399956.6</v>
      </c>
      <c r="H23">
        <v>281010.46999999997</v>
      </c>
      <c r="I23">
        <v>579540</v>
      </c>
      <c r="J23">
        <v>3.7369260962540798</v>
      </c>
      <c r="K23">
        <v>2</v>
      </c>
      <c r="L23">
        <v>-68.646153846173505</v>
      </c>
      <c r="M23">
        <v>59.621538461418801</v>
      </c>
      <c r="N23">
        <v>662.30769230762996</v>
      </c>
      <c r="O23">
        <v>1.6740744743265099</v>
      </c>
      <c r="P23">
        <v>95.917401969491195</v>
      </c>
      <c r="Q23">
        <f>O23-0.039</f>
        <v>1.63507447432651</v>
      </c>
      <c r="R23">
        <f>IF(Q23&gt;0,Q23,2*PI() + Q23)</f>
        <v>1.63507447432651</v>
      </c>
      <c r="S23">
        <v>14</v>
      </c>
    </row>
    <row r="24" spans="1:19" x14ac:dyDescent="0.2">
      <c r="A24">
        <v>20</v>
      </c>
      <c r="B24">
        <f t="shared" si="0"/>
        <v>2.1528250200256442</v>
      </c>
      <c r="C24">
        <v>407059.47</v>
      </c>
      <c r="D24">
        <v>276392.28000000003</v>
      </c>
      <c r="E24">
        <v>575460</v>
      </c>
      <c r="F24">
        <v>8.4440299999999997</v>
      </c>
      <c r="G24">
        <v>403846.44</v>
      </c>
      <c r="H24">
        <v>282501.96999999997</v>
      </c>
      <c r="I24">
        <v>575640</v>
      </c>
      <c r="J24">
        <v>3.92230205495262</v>
      </c>
      <c r="K24">
        <v>2</v>
      </c>
      <c r="L24">
        <v>308.249333333224</v>
      </c>
      <c r="M24">
        <v>167.67333333339801</v>
      </c>
      <c r="N24">
        <v>690</v>
      </c>
      <c r="O24">
        <v>1.1506582544085699</v>
      </c>
      <c r="P24">
        <v>65.927861639501799</v>
      </c>
      <c r="Q24">
        <f>O24-0.039</f>
        <v>1.11165825440857</v>
      </c>
      <c r="R24">
        <f>IF(Q24&gt;0,Q24,2*PI() + Q24)</f>
        <v>1.11165825440857</v>
      </c>
      <c r="S24">
        <v>15</v>
      </c>
    </row>
    <row r="25" spans="1:19" x14ac:dyDescent="0.2">
      <c r="A25">
        <v>21</v>
      </c>
      <c r="B25">
        <f t="shared" si="0"/>
        <v>2.1912878403427913</v>
      </c>
      <c r="C25">
        <v>401556.84</v>
      </c>
      <c r="D25">
        <v>274366.71999999997</v>
      </c>
      <c r="E25">
        <v>575460</v>
      </c>
      <c r="F25">
        <v>3.6211799999999998</v>
      </c>
      <c r="G25">
        <v>396293.16</v>
      </c>
      <c r="H25">
        <v>282233.38</v>
      </c>
      <c r="I25">
        <v>576840</v>
      </c>
      <c r="J25">
        <v>1.65253506788662</v>
      </c>
      <c r="K25">
        <v>1</v>
      </c>
      <c r="L25">
        <v>272.991111111012</v>
      </c>
      <c r="M25">
        <v>22.869629629538402</v>
      </c>
      <c r="N25">
        <v>560</v>
      </c>
      <c r="O25">
        <v>1.11721145582762</v>
      </c>
      <c r="P25">
        <v>64.011501242589006</v>
      </c>
      <c r="Q25">
        <f>O25-0.039</f>
        <v>1.0782114558276201</v>
      </c>
      <c r="R25">
        <f>IF(Q25&gt;0,Q25,2*PI() + Q25)</f>
        <v>1.0782114558276201</v>
      </c>
      <c r="S25">
        <v>10</v>
      </c>
    </row>
    <row r="26" spans="1:19" x14ac:dyDescent="0.2">
      <c r="A26">
        <v>22</v>
      </c>
      <c r="B26">
        <f t="shared" si="0"/>
        <v>1.3944369379621611</v>
      </c>
      <c r="C26">
        <v>422071.6</v>
      </c>
      <c r="D26">
        <v>275479.78000000003</v>
      </c>
      <c r="E26">
        <v>541680</v>
      </c>
      <c r="F26">
        <v>9.2267200000000003</v>
      </c>
      <c r="G26">
        <v>422710.2</v>
      </c>
      <c r="H26">
        <v>280154.06</v>
      </c>
      <c r="I26">
        <v>536220</v>
      </c>
      <c r="J26">
        <v>6.6168069339040798</v>
      </c>
      <c r="K26">
        <v>3</v>
      </c>
      <c r="L26">
        <v>827.097931034456</v>
      </c>
      <c r="M26">
        <v>-45.660689655225703</v>
      </c>
      <c r="N26">
        <v>-134.48275862063699</v>
      </c>
      <c r="O26">
        <v>-0.161185366694827</v>
      </c>
      <c r="P26">
        <v>-9.2352412308821101</v>
      </c>
      <c r="Q26">
        <f>O26-0.039</f>
        <v>-0.200185366694827</v>
      </c>
      <c r="R26">
        <f>IF(Q26&gt;0,Q26,2*PI() + Q26)</f>
        <v>6.0829999404847594</v>
      </c>
      <c r="S26">
        <v>11</v>
      </c>
    </row>
    <row r="27" spans="1:19" x14ac:dyDescent="0.2">
      <c r="A27">
        <v>23</v>
      </c>
      <c r="B27">
        <f t="shared" si="0"/>
        <v>2.1109776315882876</v>
      </c>
      <c r="C27">
        <v>408566.75</v>
      </c>
      <c r="D27">
        <v>276719.90000000002</v>
      </c>
      <c r="E27">
        <v>585540</v>
      </c>
      <c r="F27">
        <v>8.3718800000000009</v>
      </c>
      <c r="G27">
        <v>410289.12</v>
      </c>
      <c r="H27">
        <v>279377.59999999998</v>
      </c>
      <c r="I27">
        <v>590940</v>
      </c>
      <c r="J27">
        <v>3.9658781195616202</v>
      </c>
      <c r="K27">
        <v>2</v>
      </c>
      <c r="L27">
        <v>-479.88685714255598</v>
      </c>
      <c r="M27">
        <v>-31.972571428515899</v>
      </c>
      <c r="N27">
        <v>-618.85714285715903</v>
      </c>
      <c r="O27">
        <v>-2.2303815059715699</v>
      </c>
      <c r="P27">
        <v>-127.791446996204</v>
      </c>
      <c r="Q27">
        <f>O27-0.039</f>
        <v>-2.2693815059715701</v>
      </c>
      <c r="R27">
        <f>IF(Q27&gt;0,Q27,2*PI() + Q27)</f>
        <v>4.0138038012080166</v>
      </c>
      <c r="S27">
        <v>6</v>
      </c>
    </row>
    <row r="28" spans="1:19" x14ac:dyDescent="0.2">
      <c r="A28">
        <v>24</v>
      </c>
      <c r="B28">
        <f t="shared" si="0"/>
        <v>1.2560142576037734</v>
      </c>
      <c r="C28">
        <v>413035.78</v>
      </c>
      <c r="D28">
        <v>278659.56</v>
      </c>
      <c r="E28">
        <v>581400</v>
      </c>
      <c r="F28">
        <v>8.5966000000000005</v>
      </c>
      <c r="G28">
        <v>413679.16</v>
      </c>
      <c r="H28">
        <v>284760.38</v>
      </c>
      <c r="I28">
        <v>585900</v>
      </c>
      <c r="J28">
        <v>6.8443490573113497</v>
      </c>
      <c r="K28">
        <v>3</v>
      </c>
      <c r="L28">
        <v>-567.70709677407297</v>
      </c>
      <c r="M28">
        <v>-365.98580645176099</v>
      </c>
      <c r="N28">
        <v>-760.64516129030403</v>
      </c>
      <c r="O28">
        <v>-2.2119569859254899</v>
      </c>
      <c r="P28">
        <v>-126.73579975800899</v>
      </c>
      <c r="Q28">
        <f>O28-0.039</f>
        <v>-2.2509569859254901</v>
      </c>
      <c r="R28">
        <f>IF(Q28&gt;0,Q28,2*PI() + Q28)</f>
        <v>4.0322283212540961</v>
      </c>
      <c r="S28">
        <v>8</v>
      </c>
    </row>
    <row r="29" spans="1:19" x14ac:dyDescent="0.2">
      <c r="A29">
        <v>25</v>
      </c>
      <c r="B29">
        <f t="shared" si="0"/>
        <v>1.2250108644423832</v>
      </c>
      <c r="C29">
        <v>409323.7</v>
      </c>
      <c r="D29">
        <v>277204.75</v>
      </c>
      <c r="E29">
        <v>581160</v>
      </c>
      <c r="F29">
        <v>7.8875500000000001</v>
      </c>
      <c r="G29">
        <v>408261.72</v>
      </c>
      <c r="H29">
        <v>283763.5</v>
      </c>
      <c r="I29">
        <v>586740</v>
      </c>
      <c r="J29">
        <v>6.4387592216093203</v>
      </c>
      <c r="K29">
        <v>3</v>
      </c>
      <c r="L29">
        <v>-411.22823529428598</v>
      </c>
      <c r="M29">
        <v>-247.63294117664901</v>
      </c>
      <c r="N29">
        <v>-832.94117647060204</v>
      </c>
      <c r="O29">
        <v>-2.0293962426714498</v>
      </c>
      <c r="P29">
        <v>-116.275839664781</v>
      </c>
      <c r="Q29">
        <f>O29-0.039</f>
        <v>-2.0683962426714499</v>
      </c>
      <c r="R29">
        <f>IF(Q29&gt;0,Q29,2*PI() + Q29)</f>
        <v>4.2147890645081363</v>
      </c>
      <c r="S29">
        <v>13</v>
      </c>
    </row>
    <row r="30" spans="1:19" x14ac:dyDescent="0.2">
      <c r="A30">
        <v>26</v>
      </c>
      <c r="B30">
        <f t="shared" si="0"/>
        <v>1.4271102868275953</v>
      </c>
      <c r="C30">
        <v>405245.16</v>
      </c>
      <c r="D30">
        <v>275917.59999999998</v>
      </c>
      <c r="E30">
        <v>581160</v>
      </c>
      <c r="F30">
        <v>9.1029400000000003</v>
      </c>
      <c r="G30">
        <v>402172.97</v>
      </c>
      <c r="H30">
        <v>281382.3</v>
      </c>
      <c r="I30">
        <v>583860</v>
      </c>
      <c r="J30">
        <v>6.3785820087075704</v>
      </c>
      <c r="K30">
        <v>3</v>
      </c>
      <c r="L30">
        <v>107.74666666647001</v>
      </c>
      <c r="M30">
        <v>264.67692307668</v>
      </c>
      <c r="N30">
        <v>729.23076923075098</v>
      </c>
      <c r="O30">
        <v>1.4241038060311899</v>
      </c>
      <c r="P30">
        <v>81.595137674104194</v>
      </c>
      <c r="Q30">
        <f>O30-0.039</f>
        <v>1.38510380603119</v>
      </c>
      <c r="R30">
        <f>IF(Q30&gt;0,Q30,2*PI() + Q30)</f>
        <v>1.38510380603119</v>
      </c>
      <c r="S30">
        <v>12</v>
      </c>
    </row>
    <row r="31" spans="1:19" x14ac:dyDescent="0.2">
      <c r="A31">
        <v>27</v>
      </c>
      <c r="B31">
        <f t="shared" si="0"/>
        <v>1.6561541385806919</v>
      </c>
      <c r="C31">
        <v>405050.1</v>
      </c>
      <c r="D31">
        <v>275351.62</v>
      </c>
      <c r="E31">
        <v>584340</v>
      </c>
      <c r="F31">
        <v>9.2351799999999997</v>
      </c>
      <c r="G31">
        <v>404035.94</v>
      </c>
      <c r="H31">
        <v>278804.96999999997</v>
      </c>
      <c r="I31">
        <v>590340</v>
      </c>
      <c r="J31">
        <v>5.5762804831164203</v>
      </c>
      <c r="K31">
        <v>3</v>
      </c>
      <c r="L31">
        <v>-335.09647058811998</v>
      </c>
      <c r="M31">
        <v>38.315294117725003</v>
      </c>
      <c r="N31">
        <v>-690</v>
      </c>
      <c r="O31">
        <v>-2.0228957933626202</v>
      </c>
      <c r="P31">
        <v>-115.903391354446</v>
      </c>
      <c r="Q31">
        <f>O31-0.039</f>
        <v>-2.0618957933626203</v>
      </c>
      <c r="R31">
        <f>IF(Q31&gt;0,Q31,2*PI() + Q31)</f>
        <v>4.2212895138169664</v>
      </c>
      <c r="S31">
        <v>7</v>
      </c>
    </row>
    <row r="32" spans="1:19" x14ac:dyDescent="0.2">
      <c r="A32">
        <v>28</v>
      </c>
      <c r="B32">
        <f t="shared" si="0"/>
        <v>2.1642976783290928</v>
      </c>
      <c r="C32">
        <v>417230.28</v>
      </c>
      <c r="D32">
        <v>280647.62</v>
      </c>
      <c r="E32">
        <v>581700</v>
      </c>
      <c r="F32">
        <v>7.1440099999999997</v>
      </c>
      <c r="G32">
        <v>418935.8</v>
      </c>
      <c r="H32">
        <v>285527.34000000003</v>
      </c>
      <c r="I32">
        <v>586740</v>
      </c>
      <c r="J32">
        <v>3.3008444593977502</v>
      </c>
      <c r="K32">
        <v>2</v>
      </c>
      <c r="L32">
        <v>-345.21750000020302</v>
      </c>
      <c r="M32">
        <v>-390.64124999998597</v>
      </c>
      <c r="N32">
        <v>-648.75</v>
      </c>
      <c r="O32">
        <v>-2.05981412643863</v>
      </c>
      <c r="P32">
        <v>-118.01865602636001</v>
      </c>
      <c r="Q32">
        <f>O32-0.039</f>
        <v>-2.0988141264386302</v>
      </c>
      <c r="R32">
        <f>IF(Q32&gt;0,Q32,2*PI() + Q32)</f>
        <v>4.184371180740956</v>
      </c>
      <c r="S32">
        <v>7</v>
      </c>
    </row>
    <row r="33" spans="1:19" x14ac:dyDescent="0.2">
      <c r="A33">
        <v>29</v>
      </c>
      <c r="B33">
        <f t="shared" si="0"/>
        <v>1.5578451837464702</v>
      </c>
      <c r="C33">
        <v>400224.8</v>
      </c>
      <c r="D33">
        <v>274192.38</v>
      </c>
      <c r="E33">
        <v>581400</v>
      </c>
      <c r="F33">
        <v>9.3354199999999992</v>
      </c>
      <c r="G33">
        <v>396829.16</v>
      </c>
      <c r="H33">
        <v>279310.15999999997</v>
      </c>
      <c r="I33">
        <v>584160</v>
      </c>
      <c r="J33">
        <v>5.9925210138976697</v>
      </c>
      <c r="K33">
        <v>3</v>
      </c>
      <c r="L33">
        <v>-156.994482758571</v>
      </c>
      <c r="M33">
        <v>-103.322758620779</v>
      </c>
      <c r="N33">
        <v>556.55172413797095</v>
      </c>
      <c r="O33">
        <v>1.84573671829771</v>
      </c>
      <c r="P33">
        <v>105.75292405078601</v>
      </c>
      <c r="Q33">
        <f>O33-0.039</f>
        <v>1.8067367182977101</v>
      </c>
      <c r="R33">
        <f>IF(Q33&gt;0,Q33,2*PI() + Q33)</f>
        <v>1.8067367182977101</v>
      </c>
      <c r="S33">
        <v>13</v>
      </c>
    </row>
    <row r="34" spans="1:19" x14ac:dyDescent="0.2">
      <c r="A34">
        <v>30</v>
      </c>
      <c r="B34">
        <f t="shared" si="0"/>
        <v>1.2638116176421095</v>
      </c>
      <c r="C34">
        <v>427218.8</v>
      </c>
      <c r="D34">
        <v>280403.59999999998</v>
      </c>
      <c r="E34">
        <v>562680</v>
      </c>
      <c r="F34">
        <v>8.0856999999999992</v>
      </c>
      <c r="G34">
        <v>430574.03</v>
      </c>
      <c r="H34">
        <v>287282.06</v>
      </c>
      <c r="I34">
        <v>562740</v>
      </c>
      <c r="J34">
        <v>6.3978680739503497</v>
      </c>
      <c r="K34">
        <v>3</v>
      </c>
      <c r="L34">
        <v>-797.70714285696204</v>
      </c>
      <c r="M34">
        <v>-358.80428571411198</v>
      </c>
      <c r="N34">
        <v>-81.428571428637994</v>
      </c>
      <c r="O34">
        <v>-3.0398667264146999</v>
      </c>
      <c r="P34">
        <v>-174.17153370581201</v>
      </c>
      <c r="Q34">
        <f>O34-0.039</f>
        <v>-3.0788667264147001</v>
      </c>
      <c r="R34">
        <f>IF(Q34&gt;0,Q34,2*PI() + Q34)</f>
        <v>3.2043185807648862</v>
      </c>
      <c r="S34">
        <v>6</v>
      </c>
    </row>
    <row r="35" spans="1:19" x14ac:dyDescent="0.2">
      <c r="A35">
        <v>31</v>
      </c>
      <c r="B35">
        <f t="shared" si="0"/>
        <v>1.1841814440990026</v>
      </c>
      <c r="C35">
        <v>427832.62</v>
      </c>
      <c r="D35">
        <v>279984.65999999997</v>
      </c>
      <c r="E35">
        <v>555300</v>
      </c>
      <c r="F35">
        <v>8.5137099999999997</v>
      </c>
      <c r="G35">
        <v>430631.25</v>
      </c>
      <c r="H35">
        <v>287156.03000000003</v>
      </c>
      <c r="I35">
        <v>555060</v>
      </c>
      <c r="J35">
        <v>7.1895316739047104</v>
      </c>
      <c r="K35">
        <v>3</v>
      </c>
      <c r="L35">
        <v>-604.37333333352603</v>
      </c>
      <c r="M35">
        <v>-259.48444444435899</v>
      </c>
      <c r="N35">
        <v>84.444444444379798</v>
      </c>
      <c r="O35">
        <v>3.00276906431256</v>
      </c>
      <c r="P35">
        <v>172.04599423755701</v>
      </c>
      <c r="Q35">
        <f>O35-0.039</f>
        <v>2.9637690643125598</v>
      </c>
      <c r="R35">
        <f>IF(Q35&gt;0,Q35,2*PI() + Q35)</f>
        <v>2.9637690643125598</v>
      </c>
      <c r="S35">
        <v>7</v>
      </c>
    </row>
    <row r="36" spans="1:19" x14ac:dyDescent="0.2">
      <c r="A36">
        <v>32</v>
      </c>
      <c r="B36">
        <f t="shared" si="0"/>
        <v>1.2467738754393678</v>
      </c>
      <c r="C36">
        <v>429492.53</v>
      </c>
      <c r="D36">
        <v>279988.28000000003</v>
      </c>
      <c r="E36">
        <v>551460</v>
      </c>
      <c r="F36">
        <v>2.7975699999999999</v>
      </c>
      <c r="G36">
        <v>433826.3</v>
      </c>
      <c r="H36">
        <v>284831.09999999998</v>
      </c>
      <c r="I36">
        <v>550620</v>
      </c>
      <c r="J36">
        <v>2.2438471443060402</v>
      </c>
      <c r="K36">
        <v>1</v>
      </c>
      <c r="L36">
        <v>-671.47724137944203</v>
      </c>
      <c r="M36">
        <v>-136.17103448265701</v>
      </c>
      <c r="N36">
        <v>55.862068965565399</v>
      </c>
      <c r="O36">
        <v>3.0585909917227201</v>
      </c>
      <c r="P36">
        <v>175.244355082445</v>
      </c>
      <c r="Q36">
        <f>O36-0.039</f>
        <v>3.0195909917227199</v>
      </c>
      <c r="R36">
        <f>IF(Q36&gt;0,Q36,2*PI() + Q36)</f>
        <v>3.0195909917227199</v>
      </c>
      <c r="S36">
        <v>7</v>
      </c>
    </row>
    <row r="37" spans="1:19" x14ac:dyDescent="0.2">
      <c r="A37">
        <v>33</v>
      </c>
      <c r="B37">
        <f t="shared" si="0"/>
        <v>1.5313733395240066</v>
      </c>
      <c r="C37">
        <v>418858.2</v>
      </c>
      <c r="D37">
        <v>279557.46999999997</v>
      </c>
      <c r="E37">
        <v>573720</v>
      </c>
      <c r="F37">
        <v>9.0397700000000007</v>
      </c>
      <c r="G37">
        <v>418097.28</v>
      </c>
      <c r="H37">
        <v>285907.5</v>
      </c>
      <c r="I37">
        <v>575820</v>
      </c>
      <c r="J37">
        <v>5.9030477850749401</v>
      </c>
      <c r="K37">
        <v>3</v>
      </c>
      <c r="L37">
        <v>433.83272727282002</v>
      </c>
      <c r="M37">
        <v>79.495757575903596</v>
      </c>
      <c r="N37">
        <v>521.81818181823496</v>
      </c>
      <c r="O37">
        <v>0.877207948548968</v>
      </c>
      <c r="P37">
        <v>50.260313207185</v>
      </c>
      <c r="Q37">
        <f>O37-0.039</f>
        <v>0.83820794854896796</v>
      </c>
      <c r="R37">
        <f>IF(Q37&gt;0,Q37,2*PI() + Q37)</f>
        <v>0.83820794854896796</v>
      </c>
      <c r="S37">
        <v>13</v>
      </c>
    </row>
    <row r="38" spans="1:19" x14ac:dyDescent="0.2">
      <c r="A38">
        <v>34</v>
      </c>
      <c r="B38">
        <f t="shared" si="0"/>
        <v>1.4346820549691608</v>
      </c>
      <c r="C38">
        <v>422031.7</v>
      </c>
      <c r="D38">
        <v>279768.2</v>
      </c>
      <c r="E38">
        <v>570240</v>
      </c>
      <c r="F38">
        <v>8.2968100000000007</v>
      </c>
      <c r="G38">
        <v>422484.1</v>
      </c>
      <c r="H38">
        <v>286697.46999999997</v>
      </c>
      <c r="I38">
        <v>571680</v>
      </c>
      <c r="J38">
        <v>5.78303044306102</v>
      </c>
      <c r="K38">
        <v>3</v>
      </c>
      <c r="L38">
        <v>464.62266666663299</v>
      </c>
      <c r="M38">
        <v>98.948000000033105</v>
      </c>
      <c r="N38">
        <v>362</v>
      </c>
      <c r="O38">
        <v>0.66188320230212605</v>
      </c>
      <c r="P38">
        <v>37.923114022515499</v>
      </c>
      <c r="Q38">
        <f>O38-0.039</f>
        <v>0.62288320230212602</v>
      </c>
      <c r="R38">
        <f>IF(Q38&gt;0,Q38,2*PI() + Q38)</f>
        <v>0.62288320230212602</v>
      </c>
      <c r="S38">
        <v>10</v>
      </c>
    </row>
    <row r="39" spans="1:19" x14ac:dyDescent="0.2">
      <c r="A39">
        <v>35</v>
      </c>
      <c r="B39">
        <f t="shared" si="0"/>
        <v>2.5448816552848372</v>
      </c>
      <c r="C39">
        <v>411297.34</v>
      </c>
      <c r="D39">
        <v>275617.62</v>
      </c>
      <c r="E39">
        <v>552300</v>
      </c>
      <c r="F39">
        <v>7.0575799999999997</v>
      </c>
      <c r="G39">
        <v>408420.16</v>
      </c>
      <c r="H39">
        <v>281650.96999999997</v>
      </c>
      <c r="I39">
        <v>550740</v>
      </c>
      <c r="J39">
        <v>2.77324487185636</v>
      </c>
      <c r="K39">
        <v>2</v>
      </c>
      <c r="L39">
        <v>480.32952380972</v>
      </c>
      <c r="M39">
        <v>258.50285714300099</v>
      </c>
      <c r="N39">
        <v>-220</v>
      </c>
      <c r="O39">
        <v>-0.4295024005775</v>
      </c>
      <c r="P39">
        <v>-24.608674843827998</v>
      </c>
      <c r="Q39">
        <f>O39-0.039</f>
        <v>-0.46850240057749998</v>
      </c>
      <c r="R39">
        <f>IF(Q39&gt;0,Q39,2*PI() + Q39)</f>
        <v>5.8146829066020862</v>
      </c>
      <c r="S39">
        <v>14</v>
      </c>
    </row>
    <row r="40" spans="1:19" x14ac:dyDescent="0.2">
      <c r="A40">
        <v>36</v>
      </c>
      <c r="B40">
        <f t="shared" si="0"/>
        <v>1.409770767808558</v>
      </c>
      <c r="C40">
        <v>419876.06</v>
      </c>
      <c r="D40">
        <v>280401.09999999998</v>
      </c>
      <c r="E40">
        <v>577200</v>
      </c>
      <c r="F40">
        <v>9.2662200000000006</v>
      </c>
      <c r="G40">
        <v>421672.7</v>
      </c>
      <c r="H40">
        <v>286953.3</v>
      </c>
      <c r="I40">
        <v>581100</v>
      </c>
      <c r="J40">
        <v>6.5728558227973704</v>
      </c>
      <c r="K40">
        <v>3</v>
      </c>
      <c r="L40">
        <v>-299.25777777802398</v>
      </c>
      <c r="M40">
        <v>-255.539259259414</v>
      </c>
      <c r="N40">
        <v>-657.77777777775202</v>
      </c>
      <c r="O40">
        <v>-1.9977612820211501</v>
      </c>
      <c r="P40">
        <v>-114.463289934456</v>
      </c>
      <c r="Q40">
        <f>O40-0.039</f>
        <v>-2.0367612820211503</v>
      </c>
      <c r="R40">
        <f>IF(Q40&gt;0,Q40,2*PI() + Q40)</f>
        <v>4.2464240251584364</v>
      </c>
      <c r="S40">
        <v>7</v>
      </c>
    </row>
    <row r="41" spans="1:19" x14ac:dyDescent="0.2">
      <c r="A41">
        <v>37</v>
      </c>
      <c r="B41">
        <f t="shared" si="0"/>
        <v>2.084221387588105</v>
      </c>
      <c r="C41">
        <v>407869.72</v>
      </c>
      <c r="D41">
        <v>272317.2</v>
      </c>
      <c r="E41">
        <v>534960</v>
      </c>
      <c r="F41">
        <v>5.6753799999999996</v>
      </c>
      <c r="G41">
        <v>405310</v>
      </c>
      <c r="H41">
        <v>275939.78000000003</v>
      </c>
      <c r="I41">
        <v>531060</v>
      </c>
      <c r="J41">
        <v>2.7230216683303698</v>
      </c>
      <c r="K41">
        <v>2</v>
      </c>
      <c r="L41">
        <v>302.82142857153701</v>
      </c>
      <c r="M41">
        <v>122.664285714389</v>
      </c>
      <c r="N41">
        <v>-602.14285714284097</v>
      </c>
      <c r="O41">
        <v>-1.1048263920558301</v>
      </c>
      <c r="P41">
        <v>-63.301889359465299</v>
      </c>
      <c r="Q41">
        <f>O41-0.039</f>
        <v>-1.14382639205583</v>
      </c>
      <c r="R41">
        <f>IF(Q41&gt;0,Q41,2*PI() + Q41)</f>
        <v>5.139358915123756</v>
      </c>
      <c r="S41">
        <v>3</v>
      </c>
    </row>
    <row r="42" spans="1:19" x14ac:dyDescent="0.2">
      <c r="A42">
        <v>38</v>
      </c>
      <c r="B42">
        <f t="shared" si="0"/>
        <v>2.4138491510696549</v>
      </c>
      <c r="C42">
        <v>415902.34</v>
      </c>
      <c r="D42">
        <v>273222.46999999997</v>
      </c>
      <c r="E42">
        <v>533640</v>
      </c>
      <c r="F42">
        <v>1.2841</v>
      </c>
      <c r="G42">
        <v>415011.9</v>
      </c>
      <c r="H42">
        <v>276272.46999999997</v>
      </c>
      <c r="I42">
        <v>530700</v>
      </c>
      <c r="J42">
        <v>0.53197193347023097</v>
      </c>
      <c r="K42">
        <v>1</v>
      </c>
      <c r="L42">
        <v>212.57684210519099</v>
      </c>
      <c r="M42">
        <v>94.400000000023297</v>
      </c>
      <c r="N42">
        <v>-527.36842105258302</v>
      </c>
      <c r="O42">
        <v>-1.1876291526881599</v>
      </c>
      <c r="P42">
        <v>-68.046138075729303</v>
      </c>
      <c r="Q42">
        <f>O42-0.039</f>
        <v>-1.2266291526881599</v>
      </c>
      <c r="R42">
        <f>IF(Q42&gt;0,Q42,2*PI() + Q42)</f>
        <v>5.0565561544914264</v>
      </c>
      <c r="S42">
        <v>0</v>
      </c>
    </row>
    <row r="43" spans="1:19" x14ac:dyDescent="0.2">
      <c r="A43">
        <v>39</v>
      </c>
      <c r="B43">
        <f t="shared" si="0"/>
        <v>2.3739747550257011</v>
      </c>
      <c r="C43">
        <v>402817.2</v>
      </c>
      <c r="D43">
        <v>271833</v>
      </c>
      <c r="E43">
        <v>537960</v>
      </c>
      <c r="F43">
        <v>6.3709100000000003</v>
      </c>
      <c r="G43">
        <v>400111.56</v>
      </c>
      <c r="H43">
        <v>276604.46999999997</v>
      </c>
      <c r="I43">
        <v>534240</v>
      </c>
      <c r="J43">
        <v>2.6836469033686199</v>
      </c>
      <c r="K43">
        <v>2</v>
      </c>
      <c r="L43">
        <v>489.57142857141997</v>
      </c>
      <c r="M43">
        <v>53.871428571233999</v>
      </c>
      <c r="N43">
        <v>-544.28571428579698</v>
      </c>
      <c r="O43">
        <v>-0.83827131971626201</v>
      </c>
      <c r="P43">
        <v>-48.029408706603498</v>
      </c>
      <c r="Q43">
        <f>O43-0.039</f>
        <v>-0.87727131971626204</v>
      </c>
      <c r="R43">
        <f>IF(Q43&gt;0,Q43,2*PI() + Q43)</f>
        <v>5.4059139874633244</v>
      </c>
      <c r="S43">
        <v>13</v>
      </c>
    </row>
    <row r="44" spans="1:19" x14ac:dyDescent="0.2">
      <c r="A44">
        <v>40</v>
      </c>
      <c r="B44">
        <f t="shared" si="0"/>
        <v>2.1704977913178363</v>
      </c>
      <c r="C44">
        <v>418937.34</v>
      </c>
      <c r="D44">
        <v>274027.09999999998</v>
      </c>
      <c r="E44">
        <v>538380</v>
      </c>
      <c r="F44">
        <v>8.1603300000000001</v>
      </c>
      <c r="G44">
        <v>417974.4</v>
      </c>
      <c r="H44">
        <v>278387.21999999997</v>
      </c>
      <c r="I44">
        <v>533940</v>
      </c>
      <c r="J44">
        <v>3.75965828329426</v>
      </c>
      <c r="K44">
        <v>2</v>
      </c>
      <c r="L44">
        <v>554.911999999778</v>
      </c>
      <c r="M44">
        <v>50.065333333157497</v>
      </c>
      <c r="N44">
        <v>-430</v>
      </c>
      <c r="O44">
        <v>-0.65924611603614802</v>
      </c>
      <c r="P44">
        <v>-37.772020109263003</v>
      </c>
      <c r="Q44">
        <f>O44-0.039</f>
        <v>-0.69824611603614806</v>
      </c>
      <c r="R44">
        <f>IF(Q44&gt;0,Q44,2*PI() + Q44)</f>
        <v>5.5849391911434383</v>
      </c>
      <c r="S44">
        <v>11</v>
      </c>
    </row>
    <row r="45" spans="1:19" x14ac:dyDescent="0.2">
      <c r="A45">
        <v>41</v>
      </c>
      <c r="B45">
        <f t="shared" si="0"/>
        <v>2.2277039666500356</v>
      </c>
      <c r="C45">
        <v>409198.53</v>
      </c>
      <c r="D45">
        <v>272713.78000000003</v>
      </c>
      <c r="E45">
        <v>539640</v>
      </c>
      <c r="F45">
        <v>6.3611800000000001</v>
      </c>
      <c r="G45">
        <v>409360.16</v>
      </c>
      <c r="H45">
        <v>277329.15999999997</v>
      </c>
      <c r="I45">
        <v>534420</v>
      </c>
      <c r="J45">
        <v>2.85548712720828</v>
      </c>
      <c r="K45">
        <v>2</v>
      </c>
      <c r="L45">
        <v>637.51857142854703</v>
      </c>
      <c r="M45">
        <v>-126.331428571313</v>
      </c>
      <c r="N45">
        <v>-527.14285714284097</v>
      </c>
      <c r="O45">
        <v>-0.69090972632979097</v>
      </c>
      <c r="P45">
        <v>-39.586211343235703</v>
      </c>
      <c r="Q45">
        <f>O45-0.039</f>
        <v>-0.72990972632979101</v>
      </c>
      <c r="R45">
        <f>IF(Q45&gt;0,Q45,2*PI() + Q45)</f>
        <v>5.5532755808497951</v>
      </c>
      <c r="S45">
        <v>9</v>
      </c>
    </row>
    <row r="46" spans="1:19" x14ac:dyDescent="0.2">
      <c r="A46">
        <v>42</v>
      </c>
      <c r="B46">
        <f t="shared" si="0"/>
        <v>2.2863796626165387</v>
      </c>
      <c r="C46">
        <v>415087.28</v>
      </c>
      <c r="D46">
        <v>274325.71999999997</v>
      </c>
      <c r="E46">
        <v>541440</v>
      </c>
      <c r="F46">
        <v>8.4259199999999996</v>
      </c>
      <c r="G46">
        <v>415072.34</v>
      </c>
      <c r="H46">
        <v>278749.53000000003</v>
      </c>
      <c r="I46">
        <v>538680</v>
      </c>
      <c r="J46">
        <v>3.6852672098899601</v>
      </c>
      <c r="K46">
        <v>2</v>
      </c>
      <c r="L46">
        <v>573.44428571435901</v>
      </c>
      <c r="M46">
        <v>14.902857142675201</v>
      </c>
      <c r="N46">
        <v>-291.42857142863801</v>
      </c>
      <c r="O46">
        <v>-0.470191869988977</v>
      </c>
      <c r="P46">
        <v>-26.940009711732301</v>
      </c>
      <c r="Q46">
        <f>O46-0.039</f>
        <v>-0.50919186998897703</v>
      </c>
      <c r="R46">
        <f>IF(Q46&gt;0,Q46,2*PI() + Q46)</f>
        <v>5.773993437190609</v>
      </c>
      <c r="S46">
        <v>13</v>
      </c>
    </row>
    <row r="47" spans="1:19" x14ac:dyDescent="0.2">
      <c r="A47">
        <v>43</v>
      </c>
      <c r="B47">
        <f t="shared" si="0"/>
        <v>2.6699824702516892</v>
      </c>
      <c r="C47">
        <v>405805.25</v>
      </c>
      <c r="D47">
        <v>272843.90000000002</v>
      </c>
      <c r="E47">
        <v>541560</v>
      </c>
      <c r="F47">
        <v>7.0793900000000001</v>
      </c>
      <c r="G47">
        <v>403738</v>
      </c>
      <c r="H47">
        <v>276604.09999999998</v>
      </c>
      <c r="I47">
        <v>538680</v>
      </c>
      <c r="J47">
        <v>2.6514743369579699</v>
      </c>
      <c r="K47">
        <v>2</v>
      </c>
      <c r="L47">
        <v>280.84000000014203</v>
      </c>
      <c r="M47">
        <v>-206.518000000098</v>
      </c>
      <c r="N47">
        <v>-462</v>
      </c>
      <c r="O47">
        <v>-1.0246037314110099</v>
      </c>
      <c r="P47">
        <v>-58.705469483206699</v>
      </c>
      <c r="Q47">
        <f>O47-0.039</f>
        <v>-1.0636037314110098</v>
      </c>
      <c r="R47">
        <f>IF(Q47&gt;0,Q47,2*PI() + Q47)</f>
        <v>5.2195815757685766</v>
      </c>
      <c r="S47">
        <v>12</v>
      </c>
    </row>
    <row r="48" spans="1:19" x14ac:dyDescent="0.2">
      <c r="A48">
        <v>44</v>
      </c>
      <c r="B48">
        <f t="shared" si="0"/>
        <v>1.9700370237754516</v>
      </c>
      <c r="C48">
        <v>392930.2</v>
      </c>
      <c r="D48">
        <v>272659.21999999997</v>
      </c>
      <c r="E48">
        <v>542880</v>
      </c>
      <c r="F48">
        <v>3.9681099999999998</v>
      </c>
      <c r="G48">
        <v>390832.34</v>
      </c>
      <c r="H48">
        <v>276150.62</v>
      </c>
      <c r="I48">
        <v>541140</v>
      </c>
      <c r="J48">
        <v>2.0142311804858202</v>
      </c>
      <c r="K48">
        <v>1</v>
      </c>
      <c r="L48">
        <v>421.565925925854</v>
      </c>
      <c r="M48">
        <v>-157.924444444594</v>
      </c>
      <c r="N48">
        <v>-386.66666666674399</v>
      </c>
      <c r="O48">
        <v>-0.742245246705726</v>
      </c>
      <c r="P48">
        <v>-42.527519999884703</v>
      </c>
      <c r="Q48">
        <f>O48-0.039</f>
        <v>-0.78124524670572604</v>
      </c>
      <c r="R48">
        <f>IF(Q48&gt;0,Q48,2*PI() + Q48)</f>
        <v>5.50194006047386</v>
      </c>
      <c r="S48">
        <v>8</v>
      </c>
    </row>
    <row r="49" spans="1:19" x14ac:dyDescent="0.2">
      <c r="A49">
        <v>45</v>
      </c>
      <c r="B49">
        <f t="shared" si="0"/>
        <v>1.8629592124784886</v>
      </c>
      <c r="C49">
        <v>410475</v>
      </c>
      <c r="D49">
        <v>274270.94</v>
      </c>
      <c r="E49">
        <v>543660</v>
      </c>
      <c r="F49">
        <v>6.8751499999999997</v>
      </c>
      <c r="G49">
        <v>408996.62</v>
      </c>
      <c r="H49">
        <v>279082.71999999997</v>
      </c>
      <c r="I49">
        <v>540840</v>
      </c>
      <c r="J49">
        <v>3.6904457993222901</v>
      </c>
      <c r="K49">
        <v>2</v>
      </c>
      <c r="L49">
        <v>606.80444444453997</v>
      </c>
      <c r="M49">
        <v>48.444444444437998</v>
      </c>
      <c r="N49">
        <v>-236.66666666674399</v>
      </c>
      <c r="O49">
        <v>-0.37187457370718602</v>
      </c>
      <c r="P49">
        <v>-21.306843581648401</v>
      </c>
      <c r="Q49">
        <f>O49-0.039</f>
        <v>-0.410874573707186</v>
      </c>
      <c r="R49">
        <f>IF(Q49&gt;0,Q49,2*PI() + Q49)</f>
        <v>5.8723107334723998</v>
      </c>
      <c r="S49">
        <v>10</v>
      </c>
    </row>
    <row r="50" spans="1:19" x14ac:dyDescent="0.2">
      <c r="A50">
        <v>46</v>
      </c>
      <c r="B50">
        <f t="shared" si="0"/>
        <v>1.7606506545357057</v>
      </c>
      <c r="C50">
        <v>428189.75</v>
      </c>
      <c r="D50">
        <v>277821.03000000003</v>
      </c>
      <c r="E50">
        <v>543120</v>
      </c>
      <c r="F50">
        <v>5.4649099999999997</v>
      </c>
      <c r="G50">
        <v>428449.8</v>
      </c>
      <c r="H50">
        <v>281329.40000000002</v>
      </c>
      <c r="I50">
        <v>538860</v>
      </c>
      <c r="J50">
        <v>3.10391501341936</v>
      </c>
      <c r="K50">
        <v>2</v>
      </c>
      <c r="L50">
        <v>576.81481481465698</v>
      </c>
      <c r="M50">
        <v>-56.364444444596302</v>
      </c>
      <c r="N50">
        <v>-437.77777777775202</v>
      </c>
      <c r="O50">
        <v>-0.649209136329429</v>
      </c>
      <c r="P50">
        <v>-37.196943533009602</v>
      </c>
      <c r="Q50">
        <f>O50-0.039</f>
        <v>-0.68820913632942904</v>
      </c>
      <c r="R50">
        <f>IF(Q50&gt;0,Q50,2*PI() + Q50)</f>
        <v>5.5949761708501571</v>
      </c>
      <c r="S50">
        <v>6</v>
      </c>
    </row>
    <row r="51" spans="1:19" x14ac:dyDescent="0.2">
      <c r="A51">
        <v>47</v>
      </c>
      <c r="B51">
        <f t="shared" si="0"/>
        <v>1.6272175429730231</v>
      </c>
      <c r="C51">
        <v>430266.88</v>
      </c>
      <c r="D51">
        <v>278561.21999999997</v>
      </c>
      <c r="E51">
        <v>544200</v>
      </c>
      <c r="F51">
        <v>10.100300000000001</v>
      </c>
      <c r="G51">
        <v>433297.06</v>
      </c>
      <c r="H51">
        <v>282528.28000000003</v>
      </c>
      <c r="I51">
        <v>541140</v>
      </c>
      <c r="J51">
        <v>6.2070987641555</v>
      </c>
      <c r="K51">
        <v>3</v>
      </c>
      <c r="L51">
        <v>-595.11999999993702</v>
      </c>
      <c r="M51">
        <v>27.2713043477852</v>
      </c>
      <c r="N51">
        <v>420</v>
      </c>
      <c r="O51">
        <v>2.5270247070245402</v>
      </c>
      <c r="P51">
        <v>144.78785043778899</v>
      </c>
      <c r="Q51">
        <f>O51-0.039</f>
        <v>2.48802470702454</v>
      </c>
      <c r="R51">
        <f>IF(Q51&gt;0,Q51,2*PI() + Q51)</f>
        <v>2.48802470702454</v>
      </c>
      <c r="S51">
        <v>7</v>
      </c>
    </row>
    <row r="52" spans="1:19" x14ac:dyDescent="0.2">
      <c r="A52">
        <v>48</v>
      </c>
      <c r="B52">
        <f t="shared" si="0"/>
        <v>2.9008356961839263</v>
      </c>
      <c r="C52">
        <v>411895.38</v>
      </c>
      <c r="D52">
        <v>275132.90000000002</v>
      </c>
      <c r="E52">
        <v>549000</v>
      </c>
      <c r="F52">
        <v>7.18119</v>
      </c>
      <c r="G52">
        <v>411324.15999999997</v>
      </c>
      <c r="H52">
        <v>280805.21999999997</v>
      </c>
      <c r="I52">
        <v>545820</v>
      </c>
      <c r="J52">
        <v>2.47555902922972</v>
      </c>
      <c r="K52">
        <v>2</v>
      </c>
      <c r="L52">
        <v>543.50222222221805</v>
      </c>
      <c r="M52">
        <v>116.248888888862</v>
      </c>
      <c r="N52">
        <v>-173.333333333372</v>
      </c>
      <c r="O52">
        <v>-0.30872229663177903</v>
      </c>
      <c r="P52">
        <v>-17.6884846385868</v>
      </c>
      <c r="Q52">
        <f>O52-0.039</f>
        <v>-0.347722296631779</v>
      </c>
      <c r="R52">
        <f>IF(Q52&gt;0,Q52,2*PI() + Q52)</f>
        <v>5.9354630105478074</v>
      </c>
      <c r="S52">
        <v>13</v>
      </c>
    </row>
    <row r="53" spans="1:19" x14ac:dyDescent="0.2">
      <c r="A53">
        <v>49</v>
      </c>
      <c r="B53">
        <f t="shared" si="0"/>
        <v>2.1321771016260427</v>
      </c>
      <c r="C53">
        <v>393231.88</v>
      </c>
      <c r="D53">
        <v>272670.38</v>
      </c>
      <c r="E53">
        <v>548520</v>
      </c>
      <c r="F53">
        <v>5.2544599999999999</v>
      </c>
      <c r="G53">
        <v>390983.25</v>
      </c>
      <c r="H53">
        <v>276845.65999999997</v>
      </c>
      <c r="I53">
        <v>547020</v>
      </c>
      <c r="J53">
        <v>2.46436376977918</v>
      </c>
      <c r="K53">
        <v>2</v>
      </c>
      <c r="L53">
        <v>336.81090909091301</v>
      </c>
      <c r="M53">
        <v>83.530909090943197</v>
      </c>
      <c r="N53">
        <v>-332.72727272729401</v>
      </c>
      <c r="O53">
        <v>-0.77929905532789501</v>
      </c>
      <c r="P53">
        <v>-44.650546848820397</v>
      </c>
      <c r="Q53">
        <f>O53-0.039</f>
        <v>-0.81829905532789504</v>
      </c>
      <c r="R53">
        <f>IF(Q53&gt;0,Q53,2*PI() + Q53)</f>
        <v>5.4648862518516914</v>
      </c>
      <c r="S53">
        <v>9</v>
      </c>
    </row>
    <row r="54" spans="1:19" x14ac:dyDescent="0.2">
      <c r="A54">
        <v>50</v>
      </c>
      <c r="B54">
        <f t="shared" si="0"/>
        <v>2.9567739112658447</v>
      </c>
      <c r="C54">
        <v>401937.78</v>
      </c>
      <c r="D54">
        <v>273291.44</v>
      </c>
      <c r="E54">
        <v>548700</v>
      </c>
      <c r="F54">
        <v>6.3336899999999998</v>
      </c>
      <c r="G54">
        <v>400745.34</v>
      </c>
      <c r="H54">
        <v>278810.56</v>
      </c>
      <c r="I54">
        <v>545520</v>
      </c>
      <c r="J54">
        <v>2.1420947932026499</v>
      </c>
      <c r="K54">
        <v>2</v>
      </c>
      <c r="L54">
        <v>380.93166666658402</v>
      </c>
      <c r="M54">
        <v>13.3733333332348</v>
      </c>
      <c r="N54">
        <v>-357.5</v>
      </c>
      <c r="O54">
        <v>-0.75367714162343902</v>
      </c>
      <c r="P54">
        <v>-43.1825193305067</v>
      </c>
      <c r="Q54">
        <f>O54-0.039</f>
        <v>-0.79267714162343905</v>
      </c>
      <c r="R54">
        <f>IF(Q54&gt;0,Q54,2*PI() + Q54)</f>
        <v>5.4905081655561467</v>
      </c>
      <c r="S54">
        <v>11</v>
      </c>
    </row>
    <row r="55" spans="1:19" x14ac:dyDescent="0.2">
      <c r="A55">
        <v>51</v>
      </c>
      <c r="B55">
        <f t="shared" si="0"/>
        <v>3.2801904715062857</v>
      </c>
      <c r="C55">
        <v>406944.47</v>
      </c>
      <c r="D55">
        <v>274198.90000000002</v>
      </c>
      <c r="E55">
        <v>550320</v>
      </c>
      <c r="F55">
        <v>7.0679600000000002</v>
      </c>
      <c r="G55">
        <v>404523</v>
      </c>
      <c r="H55">
        <v>280594.21999999997</v>
      </c>
      <c r="I55">
        <v>547500</v>
      </c>
      <c r="J55">
        <v>2.15474072661224</v>
      </c>
      <c r="K55">
        <v>2</v>
      </c>
      <c r="L55">
        <v>472.42666666669498</v>
      </c>
      <c r="M55">
        <v>65.1885714285891</v>
      </c>
      <c r="N55">
        <v>-300</v>
      </c>
      <c r="O55">
        <v>-0.56577170646849695</v>
      </c>
      <c r="P55">
        <v>-32.416330948559299</v>
      </c>
      <c r="Q55">
        <f>O55-0.039</f>
        <v>-0.60477170646849698</v>
      </c>
      <c r="R55">
        <f>IF(Q55&gt;0,Q55,2*PI() + Q55)</f>
        <v>5.6784136007110888</v>
      </c>
      <c r="S55">
        <v>12</v>
      </c>
    </row>
    <row r="56" spans="1:19" x14ac:dyDescent="0.2">
      <c r="A56">
        <v>52</v>
      </c>
      <c r="B56">
        <f t="shared" si="0"/>
        <v>3.2641949474495853</v>
      </c>
      <c r="C56">
        <v>397871.34</v>
      </c>
      <c r="D56">
        <v>273162.44</v>
      </c>
      <c r="E56">
        <v>550620</v>
      </c>
      <c r="F56">
        <v>6.9051900000000002</v>
      </c>
      <c r="G56">
        <v>395486.03</v>
      </c>
      <c r="H56">
        <v>278145.84000000003</v>
      </c>
      <c r="I56">
        <v>548520</v>
      </c>
      <c r="J56">
        <v>2.1154343141776</v>
      </c>
      <c r="K56">
        <v>2</v>
      </c>
      <c r="L56">
        <v>487.89263157901598</v>
      </c>
      <c r="M56">
        <v>-2.0842105263727699</v>
      </c>
      <c r="N56">
        <v>-262.10526315786399</v>
      </c>
      <c r="O56">
        <v>-0.49297773079918999</v>
      </c>
      <c r="P56">
        <v>-28.245543368730001</v>
      </c>
      <c r="Q56">
        <f>O56-0.039</f>
        <v>-0.53197773079918997</v>
      </c>
      <c r="R56">
        <f>IF(Q56&gt;0,Q56,2*PI() + Q56)</f>
        <v>5.7512075763803967</v>
      </c>
      <c r="S56">
        <v>9</v>
      </c>
    </row>
    <row r="57" spans="1:19" x14ac:dyDescent="0.2">
      <c r="A57">
        <v>53</v>
      </c>
      <c r="B57">
        <f t="shared" si="0"/>
        <v>2.5913455269937513</v>
      </c>
      <c r="C57">
        <v>415261.94</v>
      </c>
      <c r="D57">
        <v>276358.34000000003</v>
      </c>
      <c r="E57">
        <v>552420</v>
      </c>
      <c r="F57">
        <v>6.73123</v>
      </c>
      <c r="G57">
        <v>413650.62</v>
      </c>
      <c r="H57">
        <v>282165.78000000003</v>
      </c>
      <c r="I57">
        <v>549120</v>
      </c>
      <c r="J57">
        <v>2.5975810365238998</v>
      </c>
      <c r="K57">
        <v>2</v>
      </c>
      <c r="L57">
        <v>637.75393939367495</v>
      </c>
      <c r="M57">
        <v>157.803636363533</v>
      </c>
      <c r="N57">
        <v>-183.636363636353</v>
      </c>
      <c r="O57">
        <v>-0.28035834658804198</v>
      </c>
      <c r="P57">
        <v>-16.0633500107608</v>
      </c>
      <c r="Q57">
        <f>O57-0.039</f>
        <v>-0.31935834658804196</v>
      </c>
      <c r="R57">
        <f>IF(Q57&gt;0,Q57,2*PI() + Q57)</f>
        <v>5.9638269605915442</v>
      </c>
      <c r="S57">
        <v>14</v>
      </c>
    </row>
    <row r="58" spans="1:19" x14ac:dyDescent="0.2">
      <c r="A58">
        <v>54</v>
      </c>
      <c r="B58">
        <f t="shared" si="0"/>
        <v>2.1614627724407214</v>
      </c>
      <c r="C58">
        <v>407729.94</v>
      </c>
      <c r="D58">
        <v>274577.88</v>
      </c>
      <c r="E58">
        <v>553080</v>
      </c>
      <c r="F58">
        <v>5.2572299999999998</v>
      </c>
      <c r="G58">
        <v>403465.5</v>
      </c>
      <c r="H58">
        <v>279052.94</v>
      </c>
      <c r="I58">
        <v>552480</v>
      </c>
      <c r="J58">
        <v>2.4322556312471399</v>
      </c>
      <c r="K58">
        <v>2</v>
      </c>
      <c r="L58">
        <v>568.60952380957303</v>
      </c>
      <c r="M58">
        <v>88.419047619041507</v>
      </c>
      <c r="N58">
        <v>91.428571428521494</v>
      </c>
      <c r="O58">
        <v>0.159428612783272</v>
      </c>
      <c r="P58">
        <v>9.1345866461069498</v>
      </c>
      <c r="Q58">
        <f>O58-0.039</f>
        <v>0.12042861278327199</v>
      </c>
      <c r="R58">
        <f>IF(Q58&gt;0,Q58,2*PI() + Q58)</f>
        <v>0.12042861278327199</v>
      </c>
      <c r="S58">
        <v>12</v>
      </c>
    </row>
    <row r="59" spans="1:19" x14ac:dyDescent="0.2">
      <c r="A59">
        <v>55</v>
      </c>
      <c r="B59">
        <f t="shared" si="0"/>
        <v>2.2439223878135213</v>
      </c>
      <c r="C59">
        <v>393546.03</v>
      </c>
      <c r="D59">
        <v>272986.75</v>
      </c>
      <c r="E59">
        <v>553560</v>
      </c>
      <c r="F59">
        <v>5.7486300000000004</v>
      </c>
      <c r="G59">
        <v>390983.47</v>
      </c>
      <c r="H59">
        <v>277511.56</v>
      </c>
      <c r="I59">
        <v>552840</v>
      </c>
      <c r="J59">
        <v>2.5618666809601498</v>
      </c>
      <c r="K59">
        <v>2</v>
      </c>
      <c r="L59">
        <v>624.97419354855106</v>
      </c>
      <c r="M59">
        <v>18.285161290201401</v>
      </c>
      <c r="N59">
        <v>-276.77419354836502</v>
      </c>
      <c r="O59">
        <v>-0.41689794711842998</v>
      </c>
      <c r="P59">
        <v>-23.886492857554199</v>
      </c>
      <c r="Q59">
        <f>O59-0.039</f>
        <v>-0.45589794711842996</v>
      </c>
      <c r="R59">
        <f>IF(Q59&gt;0,Q59,2*PI() + Q59)</f>
        <v>5.8272873600611561</v>
      </c>
      <c r="S59">
        <v>9</v>
      </c>
    </row>
    <row r="60" spans="1:19" x14ac:dyDescent="0.2">
      <c r="A60">
        <v>56</v>
      </c>
      <c r="B60">
        <f t="shared" si="0"/>
        <v>2.8178391635741682</v>
      </c>
      <c r="C60">
        <v>414148.28</v>
      </c>
      <c r="D60">
        <v>276543.40000000002</v>
      </c>
      <c r="E60">
        <v>556140</v>
      </c>
      <c r="F60">
        <v>6.8076699999999999</v>
      </c>
      <c r="G60">
        <v>411505.1</v>
      </c>
      <c r="H60">
        <v>282861.65999999997</v>
      </c>
      <c r="I60">
        <v>554460</v>
      </c>
      <c r="J60">
        <v>2.4159185832895802</v>
      </c>
      <c r="K60">
        <v>2</v>
      </c>
      <c r="L60">
        <v>526.76000000012596</v>
      </c>
      <c r="M60">
        <v>194.962105263083</v>
      </c>
      <c r="N60">
        <v>18.9473684211262</v>
      </c>
      <c r="O60">
        <v>3.5954140965102299E-2</v>
      </c>
      <c r="P60">
        <v>2.06002053331878</v>
      </c>
      <c r="Q60">
        <f>O60-0.039</f>
        <v>-3.0458590348977008E-3</v>
      </c>
      <c r="R60">
        <f>IF(Q60&gt;0,Q60,2*PI() + Q60)</f>
        <v>6.2801394481446886</v>
      </c>
      <c r="S60">
        <v>11</v>
      </c>
    </row>
    <row r="61" spans="1:19" x14ac:dyDescent="0.2">
      <c r="A61">
        <v>57</v>
      </c>
      <c r="B61">
        <f t="shared" si="0"/>
        <v>2.6998553486685561</v>
      </c>
      <c r="C61">
        <v>408841.88</v>
      </c>
      <c r="D61">
        <v>275053.34000000003</v>
      </c>
      <c r="E61">
        <v>556380</v>
      </c>
      <c r="F61">
        <v>5.84335</v>
      </c>
      <c r="G61">
        <v>405611.3</v>
      </c>
      <c r="H61">
        <v>281683.25</v>
      </c>
      <c r="I61">
        <v>554940</v>
      </c>
      <c r="J61">
        <v>2.1643196561925699</v>
      </c>
      <c r="K61">
        <v>2</v>
      </c>
      <c r="L61">
        <v>419.126666666765</v>
      </c>
      <c r="M61">
        <v>188.43111111124699</v>
      </c>
      <c r="N61">
        <v>50</v>
      </c>
      <c r="O61">
        <v>0.11873454484747201</v>
      </c>
      <c r="P61">
        <v>6.80298830216692</v>
      </c>
      <c r="Q61">
        <f>O61-0.039</f>
        <v>7.9734544847472E-2</v>
      </c>
      <c r="R61">
        <f>IF(Q61&gt;0,Q61,2*PI() + Q61)</f>
        <v>7.9734544847472E-2</v>
      </c>
      <c r="S61">
        <v>9</v>
      </c>
    </row>
    <row r="62" spans="1:19" x14ac:dyDescent="0.2">
      <c r="A62">
        <v>58</v>
      </c>
      <c r="B62">
        <f t="shared" si="0"/>
        <v>1.6645044231829029</v>
      </c>
      <c r="C62">
        <v>389961.75</v>
      </c>
      <c r="D62">
        <v>272825.09999999998</v>
      </c>
      <c r="E62">
        <v>557100</v>
      </c>
      <c r="F62">
        <v>3.19462</v>
      </c>
      <c r="G62">
        <v>387325.47</v>
      </c>
      <c r="H62">
        <v>277300.53000000003</v>
      </c>
      <c r="I62">
        <v>556500</v>
      </c>
      <c r="J62">
        <v>1.9192619469831</v>
      </c>
      <c r="K62">
        <v>1</v>
      </c>
      <c r="L62">
        <v>672.85517241392495</v>
      </c>
      <c r="M62">
        <v>158.50758620695001</v>
      </c>
      <c r="N62">
        <v>26.896551724174099</v>
      </c>
      <c r="O62">
        <v>3.9952489824938202E-2</v>
      </c>
      <c r="P62">
        <v>2.2891090480083198</v>
      </c>
      <c r="Q62">
        <f>O62-0.039</f>
        <v>9.5248982493820189E-4</v>
      </c>
      <c r="R62">
        <f>IF(Q62&gt;0,Q62,2*PI() + Q62)</f>
        <v>9.5248982493820189E-4</v>
      </c>
      <c r="S62">
        <v>4</v>
      </c>
    </row>
    <row r="63" spans="1:19" x14ac:dyDescent="0.2">
      <c r="A63">
        <v>59</v>
      </c>
      <c r="B63">
        <f t="shared" si="0"/>
        <v>2.3849240221783208</v>
      </c>
      <c r="C63">
        <v>399507.94</v>
      </c>
      <c r="D63">
        <v>273555.09999999998</v>
      </c>
      <c r="E63">
        <v>557640</v>
      </c>
      <c r="F63">
        <v>4.7580799999999996</v>
      </c>
      <c r="G63">
        <v>396241.1</v>
      </c>
      <c r="H63">
        <v>277996.15999999997</v>
      </c>
      <c r="I63">
        <v>556860</v>
      </c>
      <c r="J63">
        <v>1.99506565230288</v>
      </c>
      <c r="K63">
        <v>1</v>
      </c>
      <c r="L63">
        <v>385.61052631586801</v>
      </c>
      <c r="M63">
        <v>-1.36000000004424</v>
      </c>
      <c r="N63">
        <v>284.21052631584502</v>
      </c>
      <c r="O63">
        <v>0.63515522377955902</v>
      </c>
      <c r="P63">
        <v>36.391713658256101</v>
      </c>
      <c r="Q63">
        <f>O63-0.039</f>
        <v>0.59615522377955898</v>
      </c>
      <c r="R63">
        <f>IF(Q63&gt;0,Q63,2*PI() + Q63)</f>
        <v>0.59615522377955898</v>
      </c>
      <c r="S63">
        <v>12</v>
      </c>
    </row>
    <row r="64" spans="1:19" x14ac:dyDescent="0.2">
      <c r="A64">
        <v>60</v>
      </c>
      <c r="B64">
        <f t="shared" si="0"/>
        <v>2.6383990561617967</v>
      </c>
      <c r="C64">
        <v>415414.75</v>
      </c>
      <c r="D64">
        <v>276889.28000000003</v>
      </c>
      <c r="E64">
        <v>559800</v>
      </c>
      <c r="F64">
        <v>7.3010999999999999</v>
      </c>
      <c r="G64">
        <v>413861.6</v>
      </c>
      <c r="H64">
        <v>284312.8</v>
      </c>
      <c r="I64">
        <v>558300</v>
      </c>
      <c r="J64">
        <v>2.7672462901124799</v>
      </c>
      <c r="K64">
        <v>2</v>
      </c>
      <c r="L64">
        <v>413.33904761914198</v>
      </c>
      <c r="M64">
        <v>133.13714285712899</v>
      </c>
      <c r="N64">
        <v>120</v>
      </c>
      <c r="O64">
        <v>0.28255125084411498</v>
      </c>
      <c r="P64">
        <v>16.188994169510099</v>
      </c>
      <c r="Q64">
        <f>O64-0.039</f>
        <v>0.24355125084411497</v>
      </c>
      <c r="R64">
        <f>IF(Q64&gt;0,Q64,2*PI() + Q64)</f>
        <v>0.24355125084411497</v>
      </c>
      <c r="S64">
        <v>15</v>
      </c>
    </row>
    <row r="65" spans="1:19" x14ac:dyDescent="0.2">
      <c r="A65">
        <v>61</v>
      </c>
      <c r="B65">
        <f t="shared" si="0"/>
        <v>2.5610245072445035</v>
      </c>
      <c r="C65">
        <v>407852.75</v>
      </c>
      <c r="D65">
        <v>274687.94</v>
      </c>
      <c r="E65">
        <v>560400</v>
      </c>
      <c r="F65">
        <v>6.2700100000000001</v>
      </c>
      <c r="G65">
        <v>403857.84</v>
      </c>
      <c r="H65">
        <v>280897.7</v>
      </c>
      <c r="I65">
        <v>559500</v>
      </c>
      <c r="J65">
        <v>2.4482428739997202</v>
      </c>
      <c r="K65">
        <v>2</v>
      </c>
      <c r="L65">
        <v>282.75599999993602</v>
      </c>
      <c r="M65">
        <v>135.56399999989699</v>
      </c>
      <c r="N65">
        <v>240</v>
      </c>
      <c r="O65">
        <v>0.70379022095446897</v>
      </c>
      <c r="P65">
        <v>40.3242093232708</v>
      </c>
      <c r="Q65">
        <f>O65-0.039</f>
        <v>0.66479022095446894</v>
      </c>
      <c r="R65">
        <f>IF(Q65&gt;0,Q65,2*PI() + Q65)</f>
        <v>0.66479022095446894</v>
      </c>
      <c r="S65">
        <v>15</v>
      </c>
    </row>
    <row r="66" spans="1:19" x14ac:dyDescent="0.2">
      <c r="A66">
        <v>62</v>
      </c>
      <c r="B66">
        <f t="shared" si="0"/>
        <v>1.7617448122921391</v>
      </c>
      <c r="C66">
        <v>403479.03</v>
      </c>
      <c r="D66">
        <v>273640.46999999997</v>
      </c>
      <c r="E66">
        <v>560400</v>
      </c>
      <c r="F66">
        <v>2.61904</v>
      </c>
      <c r="G66">
        <v>399596.4</v>
      </c>
      <c r="H66">
        <v>280505.09999999998</v>
      </c>
      <c r="I66">
        <v>557940</v>
      </c>
      <c r="J66">
        <v>1.4866171205536101</v>
      </c>
      <c r="K66">
        <v>1</v>
      </c>
      <c r="L66">
        <v>409.24153846158902</v>
      </c>
      <c r="M66">
        <v>46.844615384703502</v>
      </c>
      <c r="N66">
        <v>219.23076923075101</v>
      </c>
      <c r="O66">
        <v>0.49179822216741997</v>
      </c>
      <c r="P66">
        <v>28.1779625022304</v>
      </c>
      <c r="Q66">
        <f>O66-0.039</f>
        <v>0.45279822216741999</v>
      </c>
      <c r="R66">
        <f>IF(Q66&gt;0,Q66,2*PI() + Q66)</f>
        <v>0.45279822216741999</v>
      </c>
      <c r="S66">
        <v>3</v>
      </c>
    </row>
    <row r="67" spans="1:19" x14ac:dyDescent="0.2">
      <c r="A67">
        <v>63</v>
      </c>
      <c r="B67">
        <f t="shared" si="0"/>
        <v>2.5233852146206548</v>
      </c>
      <c r="C67">
        <v>411958.03</v>
      </c>
      <c r="D67">
        <v>276042.3</v>
      </c>
      <c r="E67">
        <v>561360</v>
      </c>
      <c r="F67">
        <v>6.5605799999999999</v>
      </c>
      <c r="G67">
        <v>408935.22</v>
      </c>
      <c r="H67">
        <v>282892.7</v>
      </c>
      <c r="I67">
        <v>560160</v>
      </c>
      <c r="J67">
        <v>2.5999121981010198</v>
      </c>
      <c r="K67">
        <v>2</v>
      </c>
      <c r="L67">
        <v>385.741538461647</v>
      </c>
      <c r="M67">
        <v>333.61846153863002</v>
      </c>
      <c r="N67">
        <v>96.923076923121698</v>
      </c>
      <c r="O67">
        <v>0.24616823634563401</v>
      </c>
      <c r="P67">
        <v>14.1044009927838</v>
      </c>
      <c r="Q67">
        <f>O67-0.039</f>
        <v>0.207168236345634</v>
      </c>
      <c r="R67">
        <f>IF(Q67&gt;0,Q67,2*PI() + Q67)</f>
        <v>0.207168236345634</v>
      </c>
      <c r="S67">
        <v>10</v>
      </c>
    </row>
    <row r="68" spans="1:19" x14ac:dyDescent="0.2">
      <c r="A68">
        <v>64</v>
      </c>
      <c r="B68">
        <f t="shared" si="0"/>
        <v>2.4495049061359313</v>
      </c>
      <c r="C68">
        <v>401297.2</v>
      </c>
      <c r="D68">
        <v>273327.2</v>
      </c>
      <c r="E68">
        <v>561720</v>
      </c>
      <c r="F68">
        <v>5.5896400000000002</v>
      </c>
      <c r="G68">
        <v>397238.3</v>
      </c>
      <c r="H68">
        <v>277845.59999999998</v>
      </c>
      <c r="I68">
        <v>560820</v>
      </c>
      <c r="J68">
        <v>2.2819468481153602</v>
      </c>
      <c r="K68">
        <v>2</v>
      </c>
      <c r="L68">
        <v>752.37523809535196</v>
      </c>
      <c r="M68">
        <v>179.82285714300801</v>
      </c>
      <c r="N68">
        <v>208.57142857147801</v>
      </c>
      <c r="O68">
        <v>0.27042644188368498</v>
      </c>
      <c r="P68">
        <v>15.494293788675</v>
      </c>
      <c r="Q68">
        <f>O68-0.039</f>
        <v>0.23142644188368497</v>
      </c>
      <c r="R68">
        <f>IF(Q68&gt;0,Q68,2*PI() + Q68)</f>
        <v>0.23142644188368497</v>
      </c>
      <c r="S68">
        <v>9</v>
      </c>
    </row>
    <row r="69" spans="1:19" x14ac:dyDescent="0.2">
      <c r="A69">
        <v>65</v>
      </c>
      <c r="B69">
        <f t="shared" si="0"/>
        <v>2.0231604802813989</v>
      </c>
      <c r="C69">
        <v>393208.7</v>
      </c>
      <c r="D69">
        <v>271974.40000000002</v>
      </c>
      <c r="E69">
        <v>562980</v>
      </c>
      <c r="F69">
        <v>4.1291200000000003</v>
      </c>
      <c r="G69">
        <v>390271.75</v>
      </c>
      <c r="H69">
        <v>276244.34000000003</v>
      </c>
      <c r="I69">
        <v>561540</v>
      </c>
      <c r="J69">
        <v>2.0409255915406601</v>
      </c>
      <c r="K69">
        <v>1</v>
      </c>
      <c r="L69">
        <v>303.37999999994599</v>
      </c>
      <c r="M69">
        <v>-1.6199999998789301</v>
      </c>
      <c r="N69">
        <v>315</v>
      </c>
      <c r="O69">
        <v>0.80418698678143297</v>
      </c>
      <c r="P69">
        <v>46.076520281919002</v>
      </c>
      <c r="Q69">
        <f>O69-0.039</f>
        <v>0.76518698678143293</v>
      </c>
      <c r="R69">
        <f>IF(Q69&gt;0,Q69,2*PI() + Q69)</f>
        <v>0.76518698678143293</v>
      </c>
      <c r="S69">
        <v>11</v>
      </c>
    </row>
    <row r="70" spans="1:19" x14ac:dyDescent="0.2">
      <c r="A70">
        <v>66</v>
      </c>
      <c r="B70">
        <f t="shared" ref="B70:B95" si="1">F70/J70</f>
        <v>2.522623916610502</v>
      </c>
      <c r="C70">
        <v>413710.47</v>
      </c>
      <c r="D70">
        <v>276629.62</v>
      </c>
      <c r="E70">
        <v>563940</v>
      </c>
      <c r="F70">
        <v>7.2996400000000001</v>
      </c>
      <c r="G70">
        <v>411866.16</v>
      </c>
      <c r="H70">
        <v>284072.03000000003</v>
      </c>
      <c r="I70">
        <v>562800</v>
      </c>
      <c r="J70">
        <v>2.89366954460976</v>
      </c>
      <c r="K70">
        <v>2</v>
      </c>
      <c r="L70">
        <v>277.59777777746802</v>
      </c>
      <c r="M70">
        <v>199.71111111110099</v>
      </c>
      <c r="N70">
        <v>133.333333333372</v>
      </c>
      <c r="O70">
        <v>0.447772904198182</v>
      </c>
      <c r="P70">
        <v>25.655497590871601</v>
      </c>
      <c r="Q70">
        <f>O70-0.039</f>
        <v>0.40877290419818202</v>
      </c>
      <c r="R70">
        <f>IF(Q70&gt;0,Q70,2*PI() + Q70)</f>
        <v>0.40877290419818202</v>
      </c>
      <c r="S70">
        <v>14</v>
      </c>
    </row>
    <row r="71" spans="1:19" x14ac:dyDescent="0.2">
      <c r="A71">
        <v>67</v>
      </c>
      <c r="B71">
        <f t="shared" si="1"/>
        <v>2.7040097312085623</v>
      </c>
      <c r="C71">
        <v>409142.38</v>
      </c>
      <c r="D71">
        <v>275530</v>
      </c>
      <c r="E71">
        <v>565080</v>
      </c>
      <c r="F71">
        <v>6.2638400000000001</v>
      </c>
      <c r="G71">
        <v>405367.84</v>
      </c>
      <c r="H71">
        <v>281865.65999999997</v>
      </c>
      <c r="I71">
        <v>564120</v>
      </c>
      <c r="J71">
        <v>2.3165005390717899</v>
      </c>
      <c r="K71">
        <v>2</v>
      </c>
      <c r="L71">
        <v>143.806000000041</v>
      </c>
      <c r="M71">
        <v>191.37200000009</v>
      </c>
      <c r="N71">
        <v>390</v>
      </c>
      <c r="O71">
        <v>1.21753100747601</v>
      </c>
      <c r="P71">
        <v>69.759388154686604</v>
      </c>
      <c r="Q71">
        <f>O71-0.039</f>
        <v>1.17853100747601</v>
      </c>
      <c r="R71">
        <f>IF(Q71&gt;0,Q71,2*PI() + Q71)</f>
        <v>1.17853100747601</v>
      </c>
      <c r="S71">
        <v>10</v>
      </c>
    </row>
    <row r="72" spans="1:19" x14ac:dyDescent="0.2">
      <c r="A72">
        <v>68</v>
      </c>
      <c r="B72">
        <f t="shared" si="1"/>
        <v>2.353543377923847</v>
      </c>
      <c r="C72">
        <v>403320.1</v>
      </c>
      <c r="D72">
        <v>273883.40000000002</v>
      </c>
      <c r="E72">
        <v>565200</v>
      </c>
      <c r="F72">
        <v>6.1573599999999997</v>
      </c>
      <c r="G72">
        <v>399232.53</v>
      </c>
      <c r="H72">
        <v>277846.21999999997</v>
      </c>
      <c r="I72">
        <v>564720</v>
      </c>
      <c r="J72">
        <v>2.6162084190824002</v>
      </c>
      <c r="K72">
        <v>2</v>
      </c>
      <c r="L72">
        <v>354.811428571644</v>
      </c>
      <c r="M72">
        <v>162.438095238118</v>
      </c>
      <c r="N72">
        <v>460</v>
      </c>
      <c r="O72">
        <v>0.91378369660064596</v>
      </c>
      <c r="P72">
        <v>52.355949203079902</v>
      </c>
      <c r="Q72">
        <f>O72-0.039</f>
        <v>0.87478369660064592</v>
      </c>
      <c r="R72">
        <f>IF(Q72&gt;0,Q72,2*PI() + Q72)</f>
        <v>0.87478369660064592</v>
      </c>
      <c r="S72">
        <v>10</v>
      </c>
    </row>
    <row r="73" spans="1:19" x14ac:dyDescent="0.2">
      <c r="A73">
        <v>69</v>
      </c>
      <c r="B73">
        <f t="shared" si="1"/>
        <v>2.6396226363367878</v>
      </c>
      <c r="C73">
        <v>412158.7</v>
      </c>
      <c r="D73">
        <v>276637.40000000002</v>
      </c>
      <c r="E73">
        <v>566640</v>
      </c>
      <c r="F73">
        <v>7.5401199999999999</v>
      </c>
      <c r="G73">
        <v>409902.06</v>
      </c>
      <c r="H73">
        <v>283195.65999999997</v>
      </c>
      <c r="I73">
        <v>566280</v>
      </c>
      <c r="J73">
        <v>2.8565143730029599</v>
      </c>
      <c r="K73">
        <v>2</v>
      </c>
      <c r="L73">
        <v>705.73793103458604</v>
      </c>
      <c r="M73">
        <v>358.13655172428099</v>
      </c>
      <c r="N73">
        <v>486.20689655176801</v>
      </c>
      <c r="O73">
        <v>0.60326048422394696</v>
      </c>
      <c r="P73">
        <v>34.564279693050501</v>
      </c>
      <c r="Q73">
        <f>O73-0.039</f>
        <v>0.56426048422394692</v>
      </c>
      <c r="R73">
        <f>IF(Q73&gt;0,Q73,2*PI() + Q73)</f>
        <v>0.56426048422394692</v>
      </c>
      <c r="S73">
        <v>10</v>
      </c>
    </row>
    <row r="74" spans="1:19" x14ac:dyDescent="0.2">
      <c r="A74">
        <v>70</v>
      </c>
      <c r="B74">
        <f t="shared" si="1"/>
        <v>3.0866979063644875</v>
      </c>
      <c r="C74">
        <v>407056.8</v>
      </c>
      <c r="D74">
        <v>275143.90000000002</v>
      </c>
      <c r="E74">
        <v>566940</v>
      </c>
      <c r="F74">
        <v>6.7525599999999999</v>
      </c>
      <c r="G74">
        <v>400623.22</v>
      </c>
      <c r="H74">
        <v>282682.2</v>
      </c>
      <c r="I74">
        <v>565980</v>
      </c>
      <c r="J74">
        <v>2.1876322869422502</v>
      </c>
      <c r="K74">
        <v>2</v>
      </c>
      <c r="L74">
        <v>249.186666666646</v>
      </c>
      <c r="M74">
        <v>196.15809523814801</v>
      </c>
      <c r="N74">
        <v>417.14285714295698</v>
      </c>
      <c r="O74">
        <v>1.0323163603113199</v>
      </c>
      <c r="P74">
        <v>59.147370568144801</v>
      </c>
      <c r="Q74">
        <f>O74-0.039</f>
        <v>0.99331636031131987</v>
      </c>
      <c r="R74">
        <f>IF(Q74&gt;0,Q74,2*PI() + Q74)</f>
        <v>0.99331636031131987</v>
      </c>
      <c r="S74">
        <v>10</v>
      </c>
    </row>
    <row r="75" spans="1:19" x14ac:dyDescent="0.2">
      <c r="A75">
        <v>71</v>
      </c>
      <c r="B75">
        <f t="shared" si="1"/>
        <v>1.9008514203519469</v>
      </c>
      <c r="C75">
        <v>424853.7</v>
      </c>
      <c r="D75">
        <v>280362.38</v>
      </c>
      <c r="E75">
        <v>567000</v>
      </c>
      <c r="F75">
        <v>6.1534000000000004</v>
      </c>
      <c r="G75">
        <v>426162.28</v>
      </c>
      <c r="H75">
        <v>286762.25</v>
      </c>
      <c r="I75">
        <v>568260</v>
      </c>
      <c r="J75">
        <v>3.2371809464522401</v>
      </c>
      <c r="K75">
        <v>2</v>
      </c>
      <c r="L75">
        <v>447.64363636379102</v>
      </c>
      <c r="M75">
        <v>156.58181818167199</v>
      </c>
      <c r="N75">
        <v>280.90909090905899</v>
      </c>
      <c r="O75">
        <v>0.56041541847950505</v>
      </c>
      <c r="P75">
        <v>32.109438252933501</v>
      </c>
      <c r="Q75">
        <f>O75-0.039</f>
        <v>0.52141541847950501</v>
      </c>
      <c r="R75">
        <f>IF(Q75&gt;0,Q75,2*PI() + Q75)</f>
        <v>0.52141541847950501</v>
      </c>
      <c r="S75">
        <v>7</v>
      </c>
    </row>
    <row r="76" spans="1:19" x14ac:dyDescent="0.2">
      <c r="A76">
        <v>72</v>
      </c>
      <c r="B76">
        <f t="shared" si="1"/>
        <v>2.8342741425802322</v>
      </c>
      <c r="C76">
        <v>395597.06</v>
      </c>
      <c r="D76">
        <v>272373.2</v>
      </c>
      <c r="E76">
        <v>567180</v>
      </c>
      <c r="F76">
        <v>6.1959099999999996</v>
      </c>
      <c r="G76">
        <v>392704.03</v>
      </c>
      <c r="H76">
        <v>276636.96999999997</v>
      </c>
      <c r="I76">
        <v>565560</v>
      </c>
      <c r="J76">
        <v>2.1860658808252902</v>
      </c>
      <c r="K76">
        <v>2</v>
      </c>
      <c r="L76">
        <v>459.71833333344</v>
      </c>
      <c r="M76">
        <v>69.168333333451301</v>
      </c>
      <c r="N76">
        <v>370</v>
      </c>
      <c r="O76">
        <v>0.67768559342910895</v>
      </c>
      <c r="P76">
        <v>38.8285243403066</v>
      </c>
      <c r="Q76">
        <f>O76-0.039</f>
        <v>0.63868559342910891</v>
      </c>
      <c r="R76">
        <f>IF(Q76&gt;0,Q76,2*PI() + Q76)</f>
        <v>0.63868559342910891</v>
      </c>
      <c r="S76">
        <v>11</v>
      </c>
    </row>
    <row r="77" spans="1:19" x14ac:dyDescent="0.2">
      <c r="A77">
        <v>73</v>
      </c>
      <c r="B77">
        <f t="shared" si="1"/>
        <v>1.6178650950195477</v>
      </c>
      <c r="C77">
        <v>387542.3</v>
      </c>
      <c r="D77">
        <v>270839.8</v>
      </c>
      <c r="E77">
        <v>567420</v>
      </c>
      <c r="F77">
        <v>3.46915</v>
      </c>
      <c r="G77">
        <v>384513.28000000003</v>
      </c>
      <c r="H77">
        <v>274309.75</v>
      </c>
      <c r="I77">
        <v>566220</v>
      </c>
      <c r="J77">
        <v>2.1442764360758302</v>
      </c>
      <c r="K77">
        <v>1</v>
      </c>
      <c r="L77">
        <v>4.8279999998048897</v>
      </c>
      <c r="M77">
        <v>-59.9733333332697</v>
      </c>
      <c r="N77">
        <v>460</v>
      </c>
      <c r="O77">
        <v>1.5603010599917899</v>
      </c>
      <c r="P77">
        <v>89.3986655073181</v>
      </c>
      <c r="Q77">
        <f>O77-0.039</f>
        <v>1.52130105999179</v>
      </c>
      <c r="R77">
        <f>IF(Q77&gt;0,Q77,2*PI() + Q77)</f>
        <v>1.52130105999179</v>
      </c>
      <c r="S77">
        <v>8</v>
      </c>
    </row>
    <row r="78" spans="1:19" x14ac:dyDescent="0.2">
      <c r="A78">
        <v>74</v>
      </c>
      <c r="B78">
        <f t="shared" si="1"/>
        <v>2.4077390737748128</v>
      </c>
      <c r="C78">
        <v>401397.22</v>
      </c>
      <c r="D78">
        <v>273603.56</v>
      </c>
      <c r="E78">
        <v>568800</v>
      </c>
      <c r="F78">
        <v>5.6231200000000001</v>
      </c>
      <c r="G78">
        <v>396451.5</v>
      </c>
      <c r="H78">
        <v>279720.09999999998</v>
      </c>
      <c r="I78">
        <v>568380</v>
      </c>
      <c r="J78">
        <v>2.3354357875598901</v>
      </c>
      <c r="K78">
        <v>2</v>
      </c>
      <c r="L78">
        <v>336.95238095236698</v>
      </c>
      <c r="M78">
        <v>175.32190476189101</v>
      </c>
      <c r="N78">
        <v>457.14285714284102</v>
      </c>
      <c r="O78">
        <v>0.93561326590774896</v>
      </c>
      <c r="P78">
        <v>53.606691392965203</v>
      </c>
      <c r="Q78">
        <f>O78-0.039</f>
        <v>0.89661326590774892</v>
      </c>
      <c r="R78">
        <f>IF(Q78&gt;0,Q78,2*PI() + Q78)</f>
        <v>0.89661326590774892</v>
      </c>
      <c r="S78">
        <v>7</v>
      </c>
    </row>
    <row r="79" spans="1:19" x14ac:dyDescent="0.2">
      <c r="A79">
        <v>75</v>
      </c>
      <c r="B79">
        <f t="shared" si="1"/>
        <v>2.4800209187034783</v>
      </c>
      <c r="C79">
        <v>406143.1</v>
      </c>
      <c r="D79">
        <v>275180.79999999999</v>
      </c>
      <c r="E79">
        <v>569400</v>
      </c>
      <c r="F79">
        <v>6.7371299999999996</v>
      </c>
      <c r="G79">
        <v>403615.1</v>
      </c>
      <c r="H79">
        <v>280777.84000000003</v>
      </c>
      <c r="I79">
        <v>570780</v>
      </c>
      <c r="J79">
        <v>2.7165617633266099</v>
      </c>
      <c r="K79">
        <v>2</v>
      </c>
      <c r="L79">
        <v>387.54736842104501</v>
      </c>
      <c r="M79">
        <v>197.45894736843201</v>
      </c>
      <c r="N79">
        <v>508.42105263157299</v>
      </c>
      <c r="O79">
        <v>0.91949694960109996</v>
      </c>
      <c r="P79">
        <v>52.683294487296401</v>
      </c>
      <c r="Q79">
        <f>O79-0.039</f>
        <v>0.88049694960109992</v>
      </c>
      <c r="R79">
        <f>IF(Q79&gt;0,Q79,2*PI() + Q79)</f>
        <v>0.88049694960109992</v>
      </c>
      <c r="S79">
        <v>11</v>
      </c>
    </row>
    <row r="80" spans="1:19" x14ac:dyDescent="0.2">
      <c r="A80">
        <v>76</v>
      </c>
      <c r="B80">
        <f t="shared" si="1"/>
        <v>2.4880303240253445</v>
      </c>
      <c r="C80">
        <v>399077.47</v>
      </c>
      <c r="D80">
        <v>273227.03000000003</v>
      </c>
      <c r="E80">
        <v>570300</v>
      </c>
      <c r="F80">
        <v>6.4500999999999999</v>
      </c>
      <c r="G80">
        <v>394819.8</v>
      </c>
      <c r="H80">
        <v>277302.25</v>
      </c>
      <c r="I80">
        <v>570420</v>
      </c>
      <c r="J80">
        <v>2.5924523257274799</v>
      </c>
      <c r="K80">
        <v>2</v>
      </c>
      <c r="L80">
        <v>214.83368421054899</v>
      </c>
      <c r="M80">
        <v>73.351578947389498</v>
      </c>
      <c r="N80">
        <v>546.31578947370895</v>
      </c>
      <c r="O80">
        <v>1.19613035125899</v>
      </c>
      <c r="P80">
        <v>68.533220874640605</v>
      </c>
      <c r="Q80">
        <f>O80-0.039</f>
        <v>1.1571303512589901</v>
      </c>
      <c r="R80">
        <f>IF(Q80&gt;0,Q80,2*PI() + Q80)</f>
        <v>1.1571303512589901</v>
      </c>
      <c r="S80">
        <v>10</v>
      </c>
    </row>
    <row r="81" spans="1:19" x14ac:dyDescent="0.2">
      <c r="A81">
        <v>77</v>
      </c>
      <c r="B81">
        <f t="shared" si="1"/>
        <v>2.2469774599180985</v>
      </c>
      <c r="C81">
        <v>395189.97</v>
      </c>
      <c r="D81">
        <v>272269.2</v>
      </c>
      <c r="E81">
        <v>571380</v>
      </c>
      <c r="F81">
        <v>5.43269</v>
      </c>
      <c r="G81">
        <v>389953.94</v>
      </c>
      <c r="H81">
        <v>275941.90000000002</v>
      </c>
      <c r="I81">
        <v>570600</v>
      </c>
      <c r="J81">
        <v>2.4177768121439098</v>
      </c>
      <c r="K81">
        <v>2</v>
      </c>
      <c r="L81">
        <v>519.22057142888696</v>
      </c>
      <c r="M81">
        <v>113.60114285710701</v>
      </c>
      <c r="N81">
        <v>629.14285714284097</v>
      </c>
      <c r="O81">
        <v>0.880828230701309</v>
      </c>
      <c r="P81">
        <v>50.4677400951606</v>
      </c>
      <c r="Q81">
        <f>O81-0.039</f>
        <v>0.84182823070130897</v>
      </c>
      <c r="R81">
        <f>IF(Q81&gt;0,Q81,2*PI() + Q81)</f>
        <v>0.84182823070130897</v>
      </c>
      <c r="S81">
        <v>9</v>
      </c>
    </row>
    <row r="82" spans="1:19" x14ac:dyDescent="0.2">
      <c r="A82">
        <v>78</v>
      </c>
      <c r="B82">
        <f t="shared" si="1"/>
        <v>2.6902469840529486</v>
      </c>
      <c r="C82">
        <v>403458.47</v>
      </c>
      <c r="D82">
        <v>274475.34000000003</v>
      </c>
      <c r="E82">
        <v>571620</v>
      </c>
      <c r="F82">
        <v>7.2078600000000002</v>
      </c>
      <c r="G82">
        <v>399655.9</v>
      </c>
      <c r="H82">
        <v>280022.25</v>
      </c>
      <c r="I82">
        <v>573180</v>
      </c>
      <c r="J82">
        <v>2.6792558611630199</v>
      </c>
      <c r="K82">
        <v>2</v>
      </c>
      <c r="L82">
        <v>86.777777777868295</v>
      </c>
      <c r="M82">
        <v>150.626666666707</v>
      </c>
      <c r="N82">
        <v>490</v>
      </c>
      <c r="O82">
        <v>1.3955162094000499</v>
      </c>
      <c r="P82">
        <v>79.957189040717495</v>
      </c>
      <c r="Q82">
        <f>O82-0.039</f>
        <v>1.35651620940005</v>
      </c>
      <c r="R82">
        <f>IF(Q82&gt;0,Q82,2*PI() + Q82)</f>
        <v>1.35651620940005</v>
      </c>
      <c r="S82">
        <v>9</v>
      </c>
    </row>
    <row r="83" spans="1:19" x14ac:dyDescent="0.2">
      <c r="A83">
        <v>79</v>
      </c>
      <c r="B83">
        <f t="shared" si="1"/>
        <v>2.4821365085788858</v>
      </c>
      <c r="C83">
        <v>399393.72</v>
      </c>
      <c r="D83">
        <v>273856.09999999998</v>
      </c>
      <c r="E83">
        <v>574920</v>
      </c>
      <c r="F83">
        <v>7.3825599999999998</v>
      </c>
      <c r="G83">
        <v>394729.5</v>
      </c>
      <c r="H83">
        <v>277634.3</v>
      </c>
      <c r="I83">
        <v>575940</v>
      </c>
      <c r="J83">
        <v>2.9742763842697699</v>
      </c>
      <c r="K83">
        <v>2</v>
      </c>
      <c r="L83">
        <v>216.979999999981</v>
      </c>
      <c r="M83">
        <v>198.01333333324899</v>
      </c>
      <c r="N83">
        <v>627.5</v>
      </c>
      <c r="O83">
        <v>1.2378815669083201</v>
      </c>
      <c r="P83">
        <v>70.925389320887803</v>
      </c>
      <c r="Q83">
        <f>O83-0.039</f>
        <v>1.1988815669083202</v>
      </c>
      <c r="R83">
        <f>IF(Q83&gt;0,Q83,2*PI() + Q83)</f>
        <v>1.1988815669083202</v>
      </c>
      <c r="S83">
        <v>10</v>
      </c>
    </row>
    <row r="84" spans="1:19" x14ac:dyDescent="0.2">
      <c r="A84">
        <v>80</v>
      </c>
      <c r="B84">
        <f t="shared" si="1"/>
        <v>1.4755370121153892</v>
      </c>
      <c r="C84">
        <v>424304.3</v>
      </c>
      <c r="D84">
        <v>281914.7</v>
      </c>
      <c r="E84">
        <v>574140</v>
      </c>
      <c r="F84">
        <v>3.1955499999999999</v>
      </c>
      <c r="G84">
        <v>426737.22</v>
      </c>
      <c r="H84">
        <v>287033.65999999997</v>
      </c>
      <c r="I84">
        <v>574800</v>
      </c>
      <c r="J84">
        <v>2.1656861019153499</v>
      </c>
      <c r="K84">
        <v>1</v>
      </c>
      <c r="L84">
        <v>-47.026250000344596</v>
      </c>
      <c r="M84">
        <v>-370.15124999993702</v>
      </c>
      <c r="N84">
        <v>-609.375</v>
      </c>
      <c r="O84">
        <v>-1.6478149584750399</v>
      </c>
      <c r="P84">
        <v>-94.412842539144705</v>
      </c>
      <c r="Q84">
        <f>O84-0.039</f>
        <v>-1.6868149584750398</v>
      </c>
      <c r="R84">
        <f>IF(Q84&gt;0,Q84,2*PI() + Q84)</f>
        <v>4.5963703487045464</v>
      </c>
      <c r="S84">
        <v>3</v>
      </c>
    </row>
    <row r="85" spans="1:19" x14ac:dyDescent="0.2">
      <c r="A85">
        <v>81</v>
      </c>
      <c r="B85">
        <f t="shared" si="1"/>
        <v>2.0824922285752949</v>
      </c>
      <c r="C85">
        <v>389296.72</v>
      </c>
      <c r="D85">
        <v>270973.84000000003</v>
      </c>
      <c r="E85">
        <v>575940</v>
      </c>
      <c r="F85">
        <v>5.5587600000000004</v>
      </c>
      <c r="G85">
        <v>386206.6</v>
      </c>
      <c r="H85">
        <v>274611.94</v>
      </c>
      <c r="I85">
        <v>576240</v>
      </c>
      <c r="J85">
        <v>2.6692824701693798</v>
      </c>
      <c r="K85">
        <v>2</v>
      </c>
      <c r="L85">
        <v>139.692972972814</v>
      </c>
      <c r="M85">
        <v>-120.311351351498</v>
      </c>
      <c r="N85">
        <v>762.162162162247</v>
      </c>
      <c r="O85">
        <v>1.3895232114923399</v>
      </c>
      <c r="P85">
        <v>79.613815553975002</v>
      </c>
      <c r="Q85">
        <f>O85-0.039</f>
        <v>1.35052321149234</v>
      </c>
      <c r="R85">
        <f>IF(Q85&gt;0,Q85,2*PI() + Q85)</f>
        <v>1.35052321149234</v>
      </c>
      <c r="S85">
        <v>6</v>
      </c>
    </row>
    <row r="86" spans="1:19" x14ac:dyDescent="0.2">
      <c r="A86">
        <v>82</v>
      </c>
      <c r="B86">
        <f t="shared" si="1"/>
        <v>2.0252246132289646</v>
      </c>
      <c r="C86">
        <v>394478.75</v>
      </c>
      <c r="D86">
        <v>272138.15999999997</v>
      </c>
      <c r="E86">
        <v>577560</v>
      </c>
      <c r="F86">
        <v>6.59924</v>
      </c>
      <c r="G86">
        <v>390952.16</v>
      </c>
      <c r="H86">
        <v>276092.96999999997</v>
      </c>
      <c r="I86">
        <v>577500</v>
      </c>
      <c r="J86">
        <v>3.25852251493149</v>
      </c>
      <c r="K86">
        <v>2</v>
      </c>
      <c r="L86">
        <v>70.5655172414845</v>
      </c>
      <c r="M86">
        <v>-157.848275862169</v>
      </c>
      <c r="N86">
        <v>521.37931034481198</v>
      </c>
      <c r="O86">
        <v>1.43626985458157</v>
      </c>
      <c r="P86">
        <v>82.292200909392506</v>
      </c>
      <c r="Q86">
        <f>O86-0.039</f>
        <v>1.39726985458157</v>
      </c>
      <c r="R86">
        <f>IF(Q86&gt;0,Q86,2*PI() + Q86)</f>
        <v>1.39726985458157</v>
      </c>
      <c r="S86">
        <v>10</v>
      </c>
    </row>
    <row r="87" spans="1:19" x14ac:dyDescent="0.2">
      <c r="A87">
        <v>83</v>
      </c>
      <c r="B87">
        <f t="shared" si="1"/>
        <v>1.959309687098832</v>
      </c>
      <c r="C87">
        <v>401345.16</v>
      </c>
      <c r="D87">
        <v>274034.34000000003</v>
      </c>
      <c r="E87">
        <v>585480</v>
      </c>
      <c r="F87">
        <v>4.6945399999999999</v>
      </c>
      <c r="G87">
        <v>399263.6</v>
      </c>
      <c r="H87">
        <v>276848.59999999998</v>
      </c>
      <c r="I87">
        <v>588660</v>
      </c>
      <c r="J87">
        <v>2.3960173477992899</v>
      </c>
      <c r="K87">
        <v>1</v>
      </c>
      <c r="L87">
        <v>-247.56717948702899</v>
      </c>
      <c r="M87">
        <v>-3.7097435898613198</v>
      </c>
      <c r="N87">
        <v>-740</v>
      </c>
      <c r="O87">
        <v>-1.8936416993606899</v>
      </c>
      <c r="P87">
        <v>-108.49767728334901</v>
      </c>
      <c r="Q87">
        <f>O87-0.039</f>
        <v>-1.9326416993606899</v>
      </c>
      <c r="R87">
        <f>IF(Q87&gt;0,Q87,2*PI() + Q87)</f>
        <v>4.3505436078188966</v>
      </c>
      <c r="S87">
        <v>8</v>
      </c>
    </row>
    <row r="88" spans="1:19" x14ac:dyDescent="0.2">
      <c r="A88">
        <v>84</v>
      </c>
      <c r="B88">
        <f t="shared" si="1"/>
        <v>1.9796702906386432</v>
      </c>
      <c r="C88">
        <v>395543.2</v>
      </c>
      <c r="D88">
        <v>271838.59999999998</v>
      </c>
      <c r="E88">
        <v>586380</v>
      </c>
      <c r="F88">
        <v>6.3364500000000001</v>
      </c>
      <c r="G88">
        <v>394760.62</v>
      </c>
      <c r="H88">
        <v>274340.40000000002</v>
      </c>
      <c r="I88">
        <v>589560</v>
      </c>
      <c r="J88">
        <v>3.2007602629404799</v>
      </c>
      <c r="K88">
        <v>2</v>
      </c>
      <c r="L88">
        <v>-240.408421052911</v>
      </c>
      <c r="M88">
        <v>242.52421052631701</v>
      </c>
      <c r="N88">
        <v>-750</v>
      </c>
      <c r="O88">
        <v>-1.8809931712763699</v>
      </c>
      <c r="P88">
        <v>-107.772970007064</v>
      </c>
      <c r="Q88">
        <f>O88-0.039</f>
        <v>-1.9199931712763698</v>
      </c>
      <c r="R88">
        <f>IF(Q88&gt;0,Q88,2*PI() + Q88)</f>
        <v>4.3631921359032164</v>
      </c>
      <c r="S88">
        <v>9</v>
      </c>
    </row>
    <row r="89" spans="1:19" x14ac:dyDescent="0.2">
      <c r="A89">
        <v>85</v>
      </c>
      <c r="B89">
        <f t="shared" si="1"/>
        <v>1.3026400140562009</v>
      </c>
      <c r="C89">
        <v>427437.12</v>
      </c>
      <c r="D89">
        <v>278398.2</v>
      </c>
      <c r="E89">
        <v>548640</v>
      </c>
      <c r="F89">
        <v>8.02224</v>
      </c>
      <c r="G89">
        <v>430841.84</v>
      </c>
      <c r="H89">
        <v>285648.40000000002</v>
      </c>
      <c r="I89">
        <v>545460</v>
      </c>
      <c r="J89">
        <v>6.1584473940886397</v>
      </c>
      <c r="K89">
        <v>3</v>
      </c>
      <c r="L89">
        <v>-715.31000000023096</v>
      </c>
      <c r="M89">
        <v>-206.10571428563</v>
      </c>
      <c r="N89">
        <v>304.28571428579698</v>
      </c>
      <c r="O89">
        <v>2.7393917268510299</v>
      </c>
      <c r="P89">
        <v>156.95558438161899</v>
      </c>
      <c r="Q89">
        <f>O89-0.039</f>
        <v>2.7003917268510298</v>
      </c>
      <c r="R89">
        <f>IF(Q89&gt;0,Q89,2*PI() + Q89)</f>
        <v>2.7003917268510298</v>
      </c>
      <c r="S89">
        <v>10</v>
      </c>
    </row>
    <row r="90" spans="1:19" x14ac:dyDescent="0.2">
      <c r="A90">
        <v>86</v>
      </c>
      <c r="B90">
        <f t="shared" si="1"/>
        <v>1.7373254554591151</v>
      </c>
      <c r="C90">
        <v>409223.03</v>
      </c>
      <c r="D90">
        <v>274244.44</v>
      </c>
      <c r="E90">
        <v>546300</v>
      </c>
      <c r="F90">
        <v>3.4590999999999998</v>
      </c>
      <c r="G90">
        <v>405794.47</v>
      </c>
      <c r="H90">
        <v>283831.40000000002</v>
      </c>
      <c r="I90">
        <v>541980</v>
      </c>
      <c r="J90">
        <v>1.9910489362431401</v>
      </c>
      <c r="K90">
        <v>1</v>
      </c>
      <c r="L90">
        <v>717.18482758634502</v>
      </c>
      <c r="M90">
        <v>60.642758620786502</v>
      </c>
      <c r="N90">
        <v>-235.86206896556499</v>
      </c>
      <c r="O90">
        <v>-0.31773007084743898</v>
      </c>
      <c r="P90">
        <v>-18.204592083950899</v>
      </c>
      <c r="Q90">
        <f>O90-0.039</f>
        <v>-0.35673007084743896</v>
      </c>
      <c r="R90">
        <f>IF(Q90&gt;0,Q90,2*PI() + Q90)</f>
        <v>5.9264552363321474</v>
      </c>
      <c r="S90">
        <v>10</v>
      </c>
    </row>
    <row r="91" spans="1:19" x14ac:dyDescent="0.2">
      <c r="A91">
        <v>87</v>
      </c>
      <c r="B91">
        <f t="shared" si="1"/>
        <v>2.2065818342240839</v>
      </c>
      <c r="C91">
        <v>384641.3</v>
      </c>
      <c r="D91">
        <v>271967.65999999997</v>
      </c>
      <c r="E91">
        <v>549120</v>
      </c>
      <c r="F91">
        <v>1.19906</v>
      </c>
      <c r="G91">
        <v>382836.97</v>
      </c>
      <c r="H91">
        <v>275798.25</v>
      </c>
      <c r="I91">
        <v>548760</v>
      </c>
      <c r="J91">
        <v>0.54340155502169896</v>
      </c>
      <c r="K91">
        <v>1</v>
      </c>
      <c r="L91">
        <v>297.365714285639</v>
      </c>
      <c r="M91">
        <v>63.825714285660098</v>
      </c>
      <c r="N91">
        <v>-321.42857142863801</v>
      </c>
      <c r="O91">
        <v>-0.82426526287567303</v>
      </c>
      <c r="P91">
        <v>-47.2269207620174</v>
      </c>
      <c r="Q91">
        <f>O91-0.039</f>
        <v>-0.86326526287567307</v>
      </c>
      <c r="R91">
        <f>IF(Q91&gt;0,Q91,2*PI() + Q91)</f>
        <v>5.4199200443039128</v>
      </c>
      <c r="S91">
        <v>1</v>
      </c>
    </row>
    <row r="92" spans="1:19" x14ac:dyDescent="0.2">
      <c r="A92">
        <v>88</v>
      </c>
      <c r="B92">
        <f t="shared" si="1"/>
        <v>1.3953762792405273</v>
      </c>
      <c r="C92">
        <v>415548.34</v>
      </c>
      <c r="D92">
        <v>278860.3</v>
      </c>
      <c r="E92">
        <v>578460</v>
      </c>
      <c r="F92">
        <v>1.0343500000000001</v>
      </c>
      <c r="G92">
        <v>415963.44</v>
      </c>
      <c r="H92">
        <v>286016.56</v>
      </c>
      <c r="I92">
        <v>580140</v>
      </c>
      <c r="J92">
        <v>0.74126958827404898</v>
      </c>
      <c r="K92">
        <v>1</v>
      </c>
      <c r="L92">
        <v>-127.10315789486</v>
      </c>
      <c r="M92">
        <v>160.85473684204001</v>
      </c>
      <c r="N92">
        <v>653.68421052629105</v>
      </c>
      <c r="O92">
        <v>1.76284124075287</v>
      </c>
      <c r="P92">
        <v>101.00336304674499</v>
      </c>
      <c r="Q92">
        <f>O92-0.039</f>
        <v>1.72384124075287</v>
      </c>
      <c r="R92">
        <f>IF(Q92&gt;0,Q92,2*PI() + Q92)</f>
        <v>1.72384124075287</v>
      </c>
      <c r="S92">
        <v>3</v>
      </c>
    </row>
    <row r="93" spans="1:19" x14ac:dyDescent="0.2">
      <c r="A93">
        <v>89</v>
      </c>
      <c r="B93">
        <f t="shared" si="1"/>
        <v>1.6615670295215799</v>
      </c>
      <c r="C93">
        <v>408659.62</v>
      </c>
      <c r="D93">
        <v>276508.96999999997</v>
      </c>
      <c r="E93">
        <v>577680</v>
      </c>
      <c r="F93">
        <v>4.1328100000000001</v>
      </c>
      <c r="G93">
        <v>405332.44</v>
      </c>
      <c r="H93">
        <v>283306.28000000003</v>
      </c>
      <c r="I93">
        <v>580800</v>
      </c>
      <c r="J93">
        <v>2.4872965860365999</v>
      </c>
      <c r="K93">
        <v>1</v>
      </c>
      <c r="L93">
        <v>122.579512194847</v>
      </c>
      <c r="M93">
        <v>52.462439024238797</v>
      </c>
      <c r="N93">
        <v>702.43902439030398</v>
      </c>
      <c r="O93">
        <v>1.39803045262612</v>
      </c>
      <c r="P93">
        <v>80.101244566240695</v>
      </c>
      <c r="Q93">
        <f>O93-0.039</f>
        <v>1.3590304526261201</v>
      </c>
      <c r="R93">
        <f>IF(Q93&gt;0,Q93,2*PI() + Q93)</f>
        <v>1.3590304526261201</v>
      </c>
      <c r="S93">
        <v>6</v>
      </c>
    </row>
    <row r="94" spans="1:19" x14ac:dyDescent="0.2">
      <c r="A94">
        <v>90</v>
      </c>
      <c r="B94">
        <f t="shared" si="1"/>
        <v>1.6968409927991728</v>
      </c>
      <c r="C94">
        <v>397118.38</v>
      </c>
      <c r="D94">
        <v>273199.3</v>
      </c>
      <c r="E94">
        <v>582300</v>
      </c>
      <c r="F94">
        <v>8.9486500000000007</v>
      </c>
      <c r="G94">
        <v>392268.16</v>
      </c>
      <c r="H94">
        <v>276641.90000000002</v>
      </c>
      <c r="I94">
        <v>583380</v>
      </c>
      <c r="J94">
        <v>5.2737115840406297</v>
      </c>
      <c r="K94">
        <v>3</v>
      </c>
      <c r="L94">
        <v>33.6020512820105</v>
      </c>
      <c r="M94">
        <v>62.217435897618998</v>
      </c>
      <c r="N94">
        <v>681.53846153849702</v>
      </c>
      <c r="O94">
        <v>1.52153298203233</v>
      </c>
      <c r="P94">
        <v>87.177418260407194</v>
      </c>
      <c r="Q94">
        <f>O94-0.039</f>
        <v>1.4825329820323301</v>
      </c>
      <c r="R94">
        <f>IF(Q94&gt;0,Q94,2*PI() + Q94)</f>
        <v>1.4825329820323301</v>
      </c>
      <c r="S94">
        <v>10</v>
      </c>
    </row>
    <row r="95" spans="1:19" x14ac:dyDescent="0.2">
      <c r="A95">
        <v>91</v>
      </c>
      <c r="B95">
        <f t="shared" si="1"/>
        <v>2.455165608499922</v>
      </c>
      <c r="C95">
        <v>398714.7</v>
      </c>
      <c r="D95">
        <v>273067.75</v>
      </c>
      <c r="E95">
        <v>544620</v>
      </c>
      <c r="F95">
        <v>6.0893300000000004</v>
      </c>
      <c r="G95">
        <v>396515.66</v>
      </c>
      <c r="H95">
        <v>276964.96999999997</v>
      </c>
      <c r="I95">
        <v>541140</v>
      </c>
      <c r="J95">
        <v>2.48021150952848</v>
      </c>
      <c r="K95">
        <v>2</v>
      </c>
      <c r="L95">
        <v>261.62666666682298</v>
      </c>
      <c r="M95">
        <v>-31.780952380911899</v>
      </c>
      <c r="N95">
        <v>-465.71428571431898</v>
      </c>
      <c r="O95">
        <v>-1.05895774007574</v>
      </c>
      <c r="P95">
        <v>-60.673809189051802</v>
      </c>
      <c r="Q95">
        <f>O95-0.039</f>
        <v>-1.0979577400757399</v>
      </c>
      <c r="R95">
        <f>IF(Q95&gt;0,Q95,2*PI() + Q95)</f>
        <v>5.1852275671038459</v>
      </c>
      <c r="S95">
        <v>11</v>
      </c>
    </row>
  </sheetData>
  <mergeCells count="2">
    <mergeCell ref="C3:E3"/>
    <mergeCell ref="G3:I3"/>
  </mergeCells>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5DEA8-D0CE-7E4F-833A-6C773BBFFA91}">
  <dimension ref="A1:D12"/>
  <sheetViews>
    <sheetView workbookViewId="0"/>
  </sheetViews>
  <sheetFormatPr baseColWidth="10" defaultRowHeight="16" x14ac:dyDescent="0.2"/>
  <cols>
    <col min="2" max="2" width="20.83203125" bestFit="1" customWidth="1"/>
    <col min="3" max="3" width="18.6640625" bestFit="1" customWidth="1"/>
  </cols>
  <sheetData>
    <row r="1" spans="1:4" x14ac:dyDescent="0.2">
      <c r="A1" s="1" t="s">
        <v>19</v>
      </c>
    </row>
    <row r="3" spans="1:4" x14ac:dyDescent="0.2">
      <c r="B3" t="s">
        <v>16</v>
      </c>
      <c r="C3" t="s">
        <v>17</v>
      </c>
      <c r="D3" t="s">
        <v>18</v>
      </c>
    </row>
    <row r="4" spans="1:4" x14ac:dyDescent="0.2">
      <c r="B4">
        <v>2.5</v>
      </c>
      <c r="C4">
        <v>0.911655244663376</v>
      </c>
      <c r="D4">
        <v>0.176483573978408</v>
      </c>
    </row>
    <row r="5" spans="1:4" x14ac:dyDescent="0.2">
      <c r="B5">
        <v>7.5</v>
      </c>
      <c r="C5">
        <v>0.86961404851947899</v>
      </c>
      <c r="D5">
        <v>0.218721426896272</v>
      </c>
    </row>
    <row r="6" spans="1:4" x14ac:dyDescent="0.2">
      <c r="B6">
        <v>12.5</v>
      </c>
      <c r="C6">
        <v>0.808705438702219</v>
      </c>
      <c r="D6">
        <v>0.24691932466619701</v>
      </c>
    </row>
    <row r="7" spans="1:4" x14ac:dyDescent="0.2">
      <c r="B7">
        <v>17.5</v>
      </c>
      <c r="C7">
        <v>0.67024917337656498</v>
      </c>
      <c r="D7">
        <v>0.33437331803532799</v>
      </c>
    </row>
    <row r="8" spans="1:4" x14ac:dyDescent="0.2">
      <c r="B8">
        <v>22.5</v>
      </c>
      <c r="C8">
        <v>0.51665564322363</v>
      </c>
      <c r="D8">
        <v>0.37589935481539599</v>
      </c>
    </row>
    <row r="9" spans="1:4" x14ac:dyDescent="0.2">
      <c r="B9">
        <v>27.5</v>
      </c>
      <c r="C9">
        <v>0.280813553822576</v>
      </c>
      <c r="D9">
        <v>0.46568649624472502</v>
      </c>
    </row>
    <row r="10" spans="1:4" x14ac:dyDescent="0.2">
      <c r="B10">
        <v>32.5</v>
      </c>
      <c r="C10">
        <v>9.0277853981805198E-2</v>
      </c>
      <c r="D10">
        <v>0.50473463224608195</v>
      </c>
    </row>
    <row r="11" spans="1:4" x14ac:dyDescent="0.2">
      <c r="B11">
        <v>37.5</v>
      </c>
      <c r="C11">
        <v>-0.121836717329453</v>
      </c>
      <c r="D11">
        <v>0.49746956864644598</v>
      </c>
    </row>
    <row r="12" spans="1:4" x14ac:dyDescent="0.2">
      <c r="B12">
        <v>42.5</v>
      </c>
      <c r="C12">
        <v>-0.32553454218865002</v>
      </c>
      <c r="D12">
        <v>0.44175889464120499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87F31-7833-8043-8824-80EA7D17EB99}">
  <dimension ref="A1:F309"/>
  <sheetViews>
    <sheetView workbookViewId="0">
      <selection activeCell="F3" sqref="F3"/>
    </sheetView>
  </sheetViews>
  <sheetFormatPr baseColWidth="10" defaultRowHeight="16" x14ac:dyDescent="0.2"/>
  <cols>
    <col min="2" max="2" width="18.1640625" customWidth="1"/>
    <col min="3" max="3" width="15" customWidth="1"/>
    <col min="4" max="4" width="17.5" customWidth="1"/>
  </cols>
  <sheetData>
    <row r="1" spans="1:6" x14ac:dyDescent="0.2">
      <c r="A1" s="1" t="s">
        <v>23</v>
      </c>
    </row>
    <row r="2" spans="1:6" x14ac:dyDescent="0.2">
      <c r="B2" t="s">
        <v>20</v>
      </c>
      <c r="C2" t="s">
        <v>21</v>
      </c>
      <c r="D2" t="s">
        <v>22</v>
      </c>
    </row>
    <row r="3" spans="1:6" x14ac:dyDescent="0.2">
      <c r="B3">
        <v>5</v>
      </c>
      <c r="C3">
        <v>557760</v>
      </c>
      <c r="D3">
        <v>542400</v>
      </c>
      <c r="F3" t="s">
        <v>567</v>
      </c>
    </row>
    <row r="4" spans="1:6" x14ac:dyDescent="0.2">
      <c r="B4">
        <v>11</v>
      </c>
      <c r="C4">
        <v>557760</v>
      </c>
      <c r="D4">
        <v>547260</v>
      </c>
    </row>
    <row r="5" spans="1:6" x14ac:dyDescent="0.2">
      <c r="B5">
        <v>2</v>
      </c>
      <c r="C5">
        <v>557760</v>
      </c>
      <c r="D5">
        <v>551100</v>
      </c>
    </row>
    <row r="6" spans="1:6" x14ac:dyDescent="0.2">
      <c r="B6">
        <v>1</v>
      </c>
      <c r="C6">
        <v>557760</v>
      </c>
      <c r="D6">
        <v>543360</v>
      </c>
    </row>
    <row r="7" spans="1:6" x14ac:dyDescent="0.2">
      <c r="B7">
        <v>1</v>
      </c>
      <c r="C7">
        <v>557760</v>
      </c>
      <c r="D7">
        <v>538860</v>
      </c>
    </row>
    <row r="8" spans="1:6" x14ac:dyDescent="0.2">
      <c r="B8">
        <v>2</v>
      </c>
      <c r="C8">
        <v>560160</v>
      </c>
      <c r="D8">
        <v>547260</v>
      </c>
    </row>
    <row r="9" spans="1:6" x14ac:dyDescent="0.2">
      <c r="B9">
        <v>3</v>
      </c>
      <c r="C9">
        <v>560160</v>
      </c>
      <c r="D9">
        <v>550980</v>
      </c>
    </row>
    <row r="10" spans="1:6" x14ac:dyDescent="0.2">
      <c r="B10">
        <v>8</v>
      </c>
      <c r="C10">
        <v>560160</v>
      </c>
      <c r="D10">
        <v>553320</v>
      </c>
    </row>
    <row r="11" spans="1:6" x14ac:dyDescent="0.2">
      <c r="B11">
        <v>1</v>
      </c>
      <c r="C11">
        <v>560160</v>
      </c>
      <c r="D11">
        <v>559440</v>
      </c>
    </row>
    <row r="12" spans="1:6" x14ac:dyDescent="0.2">
      <c r="B12">
        <v>1</v>
      </c>
      <c r="C12">
        <v>560160</v>
      </c>
      <c r="D12">
        <v>551100</v>
      </c>
    </row>
    <row r="13" spans="1:6" x14ac:dyDescent="0.2">
      <c r="B13">
        <v>4</v>
      </c>
      <c r="C13">
        <v>559680</v>
      </c>
      <c r="D13">
        <v>542400</v>
      </c>
    </row>
    <row r="14" spans="1:6" x14ac:dyDescent="0.2">
      <c r="B14">
        <v>2</v>
      </c>
      <c r="C14">
        <v>559680</v>
      </c>
      <c r="D14">
        <v>547260</v>
      </c>
    </row>
    <row r="15" spans="1:6" x14ac:dyDescent="0.2">
      <c r="B15">
        <v>19</v>
      </c>
      <c r="C15">
        <v>559680</v>
      </c>
      <c r="D15">
        <v>551100</v>
      </c>
    </row>
    <row r="16" spans="1:6" x14ac:dyDescent="0.2">
      <c r="B16">
        <v>5</v>
      </c>
      <c r="C16">
        <v>559680</v>
      </c>
      <c r="D16">
        <v>543360</v>
      </c>
    </row>
    <row r="17" spans="2:4" x14ac:dyDescent="0.2">
      <c r="B17">
        <v>1</v>
      </c>
      <c r="C17">
        <v>559680</v>
      </c>
      <c r="D17">
        <v>555180</v>
      </c>
    </row>
    <row r="18" spans="2:4" x14ac:dyDescent="0.2">
      <c r="B18">
        <v>2</v>
      </c>
      <c r="C18">
        <v>559680</v>
      </c>
      <c r="D18">
        <v>536220</v>
      </c>
    </row>
    <row r="19" spans="2:4" x14ac:dyDescent="0.2">
      <c r="B19">
        <v>1</v>
      </c>
      <c r="C19">
        <v>559680</v>
      </c>
      <c r="D19">
        <v>538860</v>
      </c>
    </row>
    <row r="20" spans="2:4" x14ac:dyDescent="0.2">
      <c r="B20">
        <v>10</v>
      </c>
      <c r="C20">
        <v>563040</v>
      </c>
      <c r="D20">
        <v>543360</v>
      </c>
    </row>
    <row r="21" spans="2:4" x14ac:dyDescent="0.2">
      <c r="B21">
        <v>1</v>
      </c>
      <c r="C21">
        <v>563040</v>
      </c>
      <c r="D21">
        <v>540120</v>
      </c>
    </row>
    <row r="22" spans="2:4" x14ac:dyDescent="0.2">
      <c r="B22">
        <v>1</v>
      </c>
      <c r="C22">
        <v>563040</v>
      </c>
      <c r="D22">
        <v>533940</v>
      </c>
    </row>
    <row r="23" spans="2:4" x14ac:dyDescent="0.2">
      <c r="B23">
        <v>4</v>
      </c>
      <c r="C23">
        <v>563040</v>
      </c>
      <c r="D23">
        <v>538680</v>
      </c>
    </row>
    <row r="24" spans="2:4" x14ac:dyDescent="0.2">
      <c r="B24">
        <v>3</v>
      </c>
      <c r="C24">
        <v>566700</v>
      </c>
      <c r="D24">
        <v>565500</v>
      </c>
    </row>
    <row r="25" spans="2:4" x14ac:dyDescent="0.2">
      <c r="B25">
        <v>5</v>
      </c>
      <c r="C25">
        <v>566700</v>
      </c>
      <c r="D25">
        <v>553320</v>
      </c>
    </row>
    <row r="26" spans="2:4" x14ac:dyDescent="0.2">
      <c r="B26">
        <v>1</v>
      </c>
      <c r="C26">
        <v>566700</v>
      </c>
      <c r="D26">
        <v>559440</v>
      </c>
    </row>
    <row r="27" spans="2:4" x14ac:dyDescent="0.2">
      <c r="B27">
        <v>2</v>
      </c>
      <c r="C27">
        <v>566700</v>
      </c>
      <c r="D27">
        <v>551100</v>
      </c>
    </row>
    <row r="28" spans="2:4" x14ac:dyDescent="0.2">
      <c r="B28">
        <v>3</v>
      </c>
      <c r="C28">
        <v>566700</v>
      </c>
      <c r="D28">
        <v>555180</v>
      </c>
    </row>
    <row r="29" spans="2:4" x14ac:dyDescent="0.2">
      <c r="B29">
        <v>13</v>
      </c>
      <c r="C29">
        <v>566700</v>
      </c>
      <c r="D29">
        <v>560340</v>
      </c>
    </row>
    <row r="30" spans="2:4" x14ac:dyDescent="0.2">
      <c r="B30">
        <v>5</v>
      </c>
      <c r="C30">
        <v>566700</v>
      </c>
      <c r="D30">
        <v>565680</v>
      </c>
    </row>
    <row r="31" spans="2:4" x14ac:dyDescent="0.2">
      <c r="B31">
        <v>1</v>
      </c>
      <c r="C31">
        <v>566700</v>
      </c>
      <c r="D31">
        <v>571680</v>
      </c>
    </row>
    <row r="32" spans="2:4" x14ac:dyDescent="0.2">
      <c r="B32">
        <v>4</v>
      </c>
      <c r="C32">
        <v>562200</v>
      </c>
      <c r="D32">
        <v>565500</v>
      </c>
    </row>
    <row r="33" spans="2:4" x14ac:dyDescent="0.2">
      <c r="B33">
        <v>4</v>
      </c>
      <c r="C33">
        <v>562200</v>
      </c>
      <c r="D33">
        <v>560340</v>
      </c>
    </row>
    <row r="34" spans="2:4" x14ac:dyDescent="0.2">
      <c r="B34">
        <v>11</v>
      </c>
      <c r="C34">
        <v>562200</v>
      </c>
      <c r="D34">
        <v>565680</v>
      </c>
    </row>
    <row r="35" spans="2:4" x14ac:dyDescent="0.2">
      <c r="B35">
        <v>3</v>
      </c>
      <c r="C35">
        <v>562200</v>
      </c>
      <c r="D35">
        <v>572040</v>
      </c>
    </row>
    <row r="36" spans="2:4" x14ac:dyDescent="0.2">
      <c r="B36">
        <v>1</v>
      </c>
      <c r="C36">
        <v>562200</v>
      </c>
      <c r="D36">
        <v>568260</v>
      </c>
    </row>
    <row r="37" spans="2:4" x14ac:dyDescent="0.2">
      <c r="B37">
        <v>3</v>
      </c>
      <c r="C37">
        <v>566700</v>
      </c>
      <c r="D37">
        <v>572040</v>
      </c>
    </row>
    <row r="38" spans="2:4" x14ac:dyDescent="0.2">
      <c r="B38">
        <v>1</v>
      </c>
      <c r="C38">
        <v>566700</v>
      </c>
      <c r="D38">
        <v>573420</v>
      </c>
    </row>
    <row r="39" spans="2:4" x14ac:dyDescent="0.2">
      <c r="B39">
        <v>11</v>
      </c>
      <c r="C39">
        <v>566700</v>
      </c>
      <c r="D39">
        <v>573300</v>
      </c>
    </row>
    <row r="40" spans="2:4" x14ac:dyDescent="0.2">
      <c r="B40">
        <v>1</v>
      </c>
      <c r="C40">
        <v>566700</v>
      </c>
      <c r="D40">
        <v>578160</v>
      </c>
    </row>
    <row r="41" spans="2:4" x14ac:dyDescent="0.2">
      <c r="B41">
        <v>1</v>
      </c>
      <c r="C41">
        <v>566700</v>
      </c>
      <c r="D41">
        <v>569040</v>
      </c>
    </row>
    <row r="42" spans="2:4" x14ac:dyDescent="0.2">
      <c r="B42">
        <v>2</v>
      </c>
      <c r="C42">
        <v>566700</v>
      </c>
      <c r="D42">
        <v>575640</v>
      </c>
    </row>
    <row r="43" spans="2:4" x14ac:dyDescent="0.2">
      <c r="B43">
        <v>8</v>
      </c>
      <c r="C43">
        <v>566460</v>
      </c>
      <c r="D43">
        <v>579540</v>
      </c>
    </row>
    <row r="44" spans="2:4" x14ac:dyDescent="0.2">
      <c r="B44">
        <v>6</v>
      </c>
      <c r="C44">
        <v>566460</v>
      </c>
      <c r="D44">
        <v>575640</v>
      </c>
    </row>
    <row r="45" spans="2:4" x14ac:dyDescent="0.2">
      <c r="B45">
        <v>4</v>
      </c>
      <c r="C45">
        <v>566460</v>
      </c>
      <c r="D45">
        <v>576840</v>
      </c>
    </row>
    <row r="46" spans="2:4" x14ac:dyDescent="0.2">
      <c r="B46">
        <v>9</v>
      </c>
      <c r="C46">
        <v>563400</v>
      </c>
      <c r="D46">
        <v>542400</v>
      </c>
    </row>
    <row r="47" spans="2:4" x14ac:dyDescent="0.2">
      <c r="B47">
        <v>7</v>
      </c>
      <c r="C47">
        <v>563400</v>
      </c>
      <c r="D47">
        <v>536220</v>
      </c>
    </row>
    <row r="48" spans="2:4" x14ac:dyDescent="0.2">
      <c r="B48">
        <v>3</v>
      </c>
      <c r="C48">
        <v>563400</v>
      </c>
      <c r="D48">
        <v>538860</v>
      </c>
    </row>
    <row r="49" spans="2:4" x14ac:dyDescent="0.2">
      <c r="B49">
        <v>7</v>
      </c>
      <c r="C49">
        <v>570660</v>
      </c>
      <c r="D49">
        <v>578160</v>
      </c>
    </row>
    <row r="50" spans="2:4" x14ac:dyDescent="0.2">
      <c r="B50">
        <v>1</v>
      </c>
      <c r="C50">
        <v>570660</v>
      </c>
      <c r="D50">
        <v>579540</v>
      </c>
    </row>
    <row r="51" spans="2:4" x14ac:dyDescent="0.2">
      <c r="B51">
        <v>5</v>
      </c>
      <c r="C51">
        <v>570660</v>
      </c>
      <c r="D51">
        <v>575640</v>
      </c>
    </row>
    <row r="52" spans="2:4" x14ac:dyDescent="0.2">
      <c r="B52">
        <v>1</v>
      </c>
      <c r="C52">
        <v>570660</v>
      </c>
      <c r="D52">
        <v>583860</v>
      </c>
    </row>
    <row r="53" spans="2:4" x14ac:dyDescent="0.2">
      <c r="B53">
        <v>3</v>
      </c>
      <c r="C53">
        <v>570660</v>
      </c>
      <c r="D53">
        <v>580800</v>
      </c>
    </row>
    <row r="54" spans="2:4" x14ac:dyDescent="0.2">
      <c r="B54">
        <v>4</v>
      </c>
      <c r="C54">
        <v>569340</v>
      </c>
      <c r="D54">
        <v>590940</v>
      </c>
    </row>
    <row r="55" spans="2:4" x14ac:dyDescent="0.2">
      <c r="B55">
        <v>2</v>
      </c>
      <c r="C55">
        <v>569340</v>
      </c>
      <c r="D55">
        <v>585900</v>
      </c>
    </row>
    <row r="56" spans="2:4" x14ac:dyDescent="0.2">
      <c r="B56">
        <v>12</v>
      </c>
      <c r="C56">
        <v>569340</v>
      </c>
      <c r="D56">
        <v>586740</v>
      </c>
    </row>
    <row r="57" spans="2:4" x14ac:dyDescent="0.2">
      <c r="B57">
        <v>3</v>
      </c>
      <c r="C57">
        <v>569340</v>
      </c>
      <c r="D57">
        <v>590340</v>
      </c>
    </row>
    <row r="58" spans="2:4" x14ac:dyDescent="0.2">
      <c r="B58">
        <v>1</v>
      </c>
      <c r="C58">
        <v>569340</v>
      </c>
      <c r="D58">
        <v>586740</v>
      </c>
    </row>
    <row r="59" spans="2:4" x14ac:dyDescent="0.2">
      <c r="B59">
        <v>5</v>
      </c>
      <c r="C59">
        <v>573420</v>
      </c>
      <c r="D59">
        <v>579540</v>
      </c>
    </row>
    <row r="60" spans="2:4" x14ac:dyDescent="0.2">
      <c r="B60">
        <v>6</v>
      </c>
      <c r="C60">
        <v>573420</v>
      </c>
      <c r="D60">
        <v>583860</v>
      </c>
    </row>
    <row r="61" spans="2:4" x14ac:dyDescent="0.2">
      <c r="B61">
        <v>6</v>
      </c>
      <c r="C61">
        <v>573420</v>
      </c>
      <c r="D61">
        <v>584160</v>
      </c>
    </row>
    <row r="62" spans="2:4" x14ac:dyDescent="0.2">
      <c r="B62">
        <v>2</v>
      </c>
      <c r="C62">
        <v>573420</v>
      </c>
      <c r="D62">
        <v>580800</v>
      </c>
    </row>
    <row r="63" spans="2:4" x14ac:dyDescent="0.2">
      <c r="B63">
        <v>1</v>
      </c>
      <c r="C63">
        <v>573420</v>
      </c>
      <c r="D63">
        <v>583380</v>
      </c>
    </row>
    <row r="64" spans="2:4" x14ac:dyDescent="0.2">
      <c r="B64">
        <v>8</v>
      </c>
      <c r="C64">
        <v>569400</v>
      </c>
      <c r="D64">
        <v>565500</v>
      </c>
    </row>
    <row r="65" spans="2:4" x14ac:dyDescent="0.2">
      <c r="B65">
        <v>6</v>
      </c>
      <c r="C65">
        <v>569400</v>
      </c>
      <c r="D65">
        <v>559440</v>
      </c>
    </row>
    <row r="66" spans="2:4" x14ac:dyDescent="0.2">
      <c r="B66">
        <v>1</v>
      </c>
      <c r="C66">
        <v>569400</v>
      </c>
      <c r="D66">
        <v>560340</v>
      </c>
    </row>
    <row r="67" spans="2:4" x14ac:dyDescent="0.2">
      <c r="B67">
        <v>1</v>
      </c>
      <c r="C67">
        <v>569400</v>
      </c>
      <c r="D67">
        <v>571680</v>
      </c>
    </row>
    <row r="68" spans="2:4" x14ac:dyDescent="0.2">
      <c r="B68">
        <v>1</v>
      </c>
      <c r="C68">
        <v>569400</v>
      </c>
      <c r="D68">
        <v>568260</v>
      </c>
    </row>
    <row r="69" spans="2:4" x14ac:dyDescent="0.2">
      <c r="B69">
        <v>5</v>
      </c>
      <c r="C69">
        <v>570600</v>
      </c>
      <c r="D69">
        <v>562740</v>
      </c>
    </row>
    <row r="70" spans="2:4" x14ac:dyDescent="0.2">
      <c r="B70">
        <v>7</v>
      </c>
      <c r="C70">
        <v>570600</v>
      </c>
      <c r="D70">
        <v>555060</v>
      </c>
    </row>
    <row r="71" spans="2:4" x14ac:dyDescent="0.2">
      <c r="B71">
        <v>4</v>
      </c>
      <c r="C71">
        <v>570600</v>
      </c>
      <c r="D71">
        <v>550620</v>
      </c>
    </row>
    <row r="72" spans="2:4" x14ac:dyDescent="0.2">
      <c r="B72">
        <v>9</v>
      </c>
      <c r="C72">
        <v>571200</v>
      </c>
      <c r="D72">
        <v>572040</v>
      </c>
    </row>
    <row r="73" spans="2:4" x14ac:dyDescent="0.2">
      <c r="B73">
        <v>5</v>
      </c>
      <c r="C73">
        <v>571200</v>
      </c>
      <c r="D73">
        <v>573300</v>
      </c>
    </row>
    <row r="74" spans="2:4" x14ac:dyDescent="0.2">
      <c r="B74">
        <v>3</v>
      </c>
      <c r="C74">
        <v>571200</v>
      </c>
      <c r="D74">
        <v>578160</v>
      </c>
    </row>
    <row r="75" spans="2:4" x14ac:dyDescent="0.2">
      <c r="B75">
        <v>6</v>
      </c>
      <c r="C75">
        <v>571200</v>
      </c>
      <c r="D75">
        <v>575820</v>
      </c>
    </row>
    <row r="76" spans="2:4" x14ac:dyDescent="0.2">
      <c r="B76">
        <v>1</v>
      </c>
      <c r="C76">
        <v>571200</v>
      </c>
      <c r="D76">
        <v>571680</v>
      </c>
    </row>
    <row r="77" spans="2:4" x14ac:dyDescent="0.2">
      <c r="B77">
        <v>6</v>
      </c>
      <c r="C77">
        <v>565560</v>
      </c>
      <c r="D77">
        <v>585900</v>
      </c>
    </row>
    <row r="78" spans="2:4" x14ac:dyDescent="0.2">
      <c r="B78">
        <v>2</v>
      </c>
      <c r="C78">
        <v>565560</v>
      </c>
      <c r="D78">
        <v>586740</v>
      </c>
    </row>
    <row r="79" spans="2:4" x14ac:dyDescent="0.2">
      <c r="B79">
        <v>7</v>
      </c>
      <c r="C79">
        <v>565560</v>
      </c>
      <c r="D79">
        <v>581100</v>
      </c>
    </row>
    <row r="80" spans="2:4" x14ac:dyDescent="0.2">
      <c r="B80">
        <v>1</v>
      </c>
      <c r="C80">
        <v>567540</v>
      </c>
      <c r="D80">
        <v>576840</v>
      </c>
    </row>
    <row r="81" spans="2:4" x14ac:dyDescent="0.2">
      <c r="B81">
        <v>6</v>
      </c>
      <c r="C81">
        <v>567540</v>
      </c>
      <c r="D81">
        <v>573180</v>
      </c>
    </row>
    <row r="82" spans="2:4" x14ac:dyDescent="0.2">
      <c r="B82">
        <v>4</v>
      </c>
      <c r="C82">
        <v>567540</v>
      </c>
      <c r="D82">
        <v>575940</v>
      </c>
    </row>
    <row r="83" spans="2:4" x14ac:dyDescent="0.2">
      <c r="B83">
        <v>5</v>
      </c>
      <c r="C83">
        <v>567180</v>
      </c>
      <c r="D83">
        <v>550980</v>
      </c>
    </row>
    <row r="84" spans="2:4" x14ac:dyDescent="0.2">
      <c r="B84">
        <v>4</v>
      </c>
      <c r="C84">
        <v>571560</v>
      </c>
      <c r="D84">
        <v>555180</v>
      </c>
    </row>
    <row r="85" spans="2:4" x14ac:dyDescent="0.2">
      <c r="B85">
        <v>1</v>
      </c>
      <c r="C85">
        <v>574440</v>
      </c>
      <c r="D85">
        <v>540120</v>
      </c>
    </row>
    <row r="86" spans="2:4" x14ac:dyDescent="0.2">
      <c r="B86">
        <v>1</v>
      </c>
      <c r="C86">
        <v>567180</v>
      </c>
      <c r="D86">
        <v>565680</v>
      </c>
    </row>
    <row r="87" spans="2:4" x14ac:dyDescent="0.2">
      <c r="B87">
        <v>1</v>
      </c>
      <c r="C87">
        <v>567180</v>
      </c>
      <c r="D87">
        <v>560160</v>
      </c>
    </row>
    <row r="88" spans="2:4" x14ac:dyDescent="0.2">
      <c r="B88">
        <v>8</v>
      </c>
      <c r="C88">
        <v>567180</v>
      </c>
      <c r="D88">
        <v>562800</v>
      </c>
    </row>
    <row r="89" spans="2:4" x14ac:dyDescent="0.2">
      <c r="B89">
        <v>1</v>
      </c>
      <c r="C89">
        <v>567180</v>
      </c>
      <c r="D89">
        <v>566280</v>
      </c>
    </row>
    <row r="90" spans="2:4" x14ac:dyDescent="0.2">
      <c r="B90">
        <v>7</v>
      </c>
      <c r="C90">
        <v>570000</v>
      </c>
      <c r="D90">
        <v>573420</v>
      </c>
    </row>
    <row r="91" spans="2:4" x14ac:dyDescent="0.2">
      <c r="B91">
        <v>1</v>
      </c>
      <c r="C91">
        <v>570000</v>
      </c>
      <c r="D91">
        <v>575640</v>
      </c>
    </row>
    <row r="92" spans="2:4" x14ac:dyDescent="0.2">
      <c r="B92">
        <v>2</v>
      </c>
      <c r="C92">
        <v>578760</v>
      </c>
      <c r="D92">
        <v>565980</v>
      </c>
    </row>
    <row r="93" spans="2:4" x14ac:dyDescent="0.2">
      <c r="B93">
        <v>2</v>
      </c>
      <c r="C93">
        <v>578760</v>
      </c>
      <c r="D93">
        <v>568380</v>
      </c>
    </row>
    <row r="94" spans="2:4" x14ac:dyDescent="0.2">
      <c r="B94">
        <v>2</v>
      </c>
      <c r="C94">
        <v>578760</v>
      </c>
      <c r="D94">
        <v>570780</v>
      </c>
    </row>
    <row r="95" spans="2:4" x14ac:dyDescent="0.2">
      <c r="B95">
        <v>2</v>
      </c>
      <c r="C95">
        <v>576600</v>
      </c>
      <c r="D95">
        <v>578160</v>
      </c>
    </row>
    <row r="96" spans="2:4" x14ac:dyDescent="0.2">
      <c r="B96">
        <v>4</v>
      </c>
      <c r="C96">
        <v>576600</v>
      </c>
      <c r="D96">
        <v>575820</v>
      </c>
    </row>
    <row r="97" spans="2:4" x14ac:dyDescent="0.2">
      <c r="B97">
        <v>1</v>
      </c>
      <c r="C97">
        <v>576600</v>
      </c>
      <c r="D97">
        <v>580140</v>
      </c>
    </row>
    <row r="98" spans="2:4" x14ac:dyDescent="0.2">
      <c r="B98">
        <v>2</v>
      </c>
      <c r="C98">
        <v>573480</v>
      </c>
      <c r="D98">
        <v>569040</v>
      </c>
    </row>
    <row r="99" spans="2:4" x14ac:dyDescent="0.2">
      <c r="B99">
        <v>1</v>
      </c>
      <c r="C99">
        <v>564900</v>
      </c>
      <c r="D99">
        <v>575640</v>
      </c>
    </row>
    <row r="100" spans="2:4" x14ac:dyDescent="0.2">
      <c r="B100">
        <v>4</v>
      </c>
      <c r="C100">
        <v>564900</v>
      </c>
      <c r="D100">
        <v>570780</v>
      </c>
    </row>
    <row r="101" spans="2:4" x14ac:dyDescent="0.2">
      <c r="B101">
        <v>2</v>
      </c>
      <c r="C101">
        <v>564900</v>
      </c>
      <c r="D101">
        <v>570420</v>
      </c>
    </row>
    <row r="102" spans="2:4" x14ac:dyDescent="0.2">
      <c r="B102">
        <v>3</v>
      </c>
      <c r="C102">
        <v>564900</v>
      </c>
      <c r="D102">
        <v>573180</v>
      </c>
    </row>
    <row r="103" spans="2:4" x14ac:dyDescent="0.2">
      <c r="B103">
        <v>2</v>
      </c>
      <c r="C103">
        <v>573960</v>
      </c>
      <c r="D103">
        <v>576840</v>
      </c>
    </row>
    <row r="104" spans="2:4" x14ac:dyDescent="0.2">
      <c r="B104">
        <v>3</v>
      </c>
      <c r="C104">
        <v>574440</v>
      </c>
      <c r="D104">
        <v>576840</v>
      </c>
    </row>
    <row r="105" spans="2:4" x14ac:dyDescent="0.2">
      <c r="B105">
        <v>1</v>
      </c>
      <c r="C105">
        <v>574440</v>
      </c>
      <c r="D105">
        <v>577500</v>
      </c>
    </row>
    <row r="106" spans="2:4" x14ac:dyDescent="0.2">
      <c r="B106">
        <v>3</v>
      </c>
      <c r="C106">
        <v>569580</v>
      </c>
      <c r="D106">
        <v>536220</v>
      </c>
    </row>
    <row r="107" spans="2:4" x14ac:dyDescent="0.2">
      <c r="B107">
        <v>3</v>
      </c>
      <c r="C107">
        <v>569580</v>
      </c>
      <c r="D107">
        <v>533940</v>
      </c>
    </row>
    <row r="108" spans="2:4" x14ac:dyDescent="0.2">
      <c r="B108">
        <v>2</v>
      </c>
      <c r="C108">
        <v>581700</v>
      </c>
      <c r="D108">
        <v>590940</v>
      </c>
    </row>
    <row r="109" spans="2:4" x14ac:dyDescent="0.2">
      <c r="B109">
        <v>1</v>
      </c>
      <c r="C109">
        <v>581700</v>
      </c>
      <c r="D109">
        <v>586740</v>
      </c>
    </row>
    <row r="110" spans="2:4" x14ac:dyDescent="0.2">
      <c r="B110">
        <v>2</v>
      </c>
      <c r="C110">
        <v>581700</v>
      </c>
      <c r="D110">
        <v>586740</v>
      </c>
    </row>
    <row r="111" spans="2:4" x14ac:dyDescent="0.2">
      <c r="B111">
        <v>5</v>
      </c>
      <c r="C111">
        <v>569760</v>
      </c>
      <c r="D111">
        <v>583860</v>
      </c>
    </row>
    <row r="112" spans="2:4" x14ac:dyDescent="0.2">
      <c r="B112">
        <v>2</v>
      </c>
      <c r="C112">
        <v>569760</v>
      </c>
      <c r="D112">
        <v>584160</v>
      </c>
    </row>
    <row r="113" spans="2:4" x14ac:dyDescent="0.2">
      <c r="B113">
        <v>2</v>
      </c>
      <c r="C113">
        <v>579180</v>
      </c>
      <c r="D113">
        <v>586740</v>
      </c>
    </row>
    <row r="114" spans="2:4" x14ac:dyDescent="0.2">
      <c r="B114">
        <v>5</v>
      </c>
      <c r="C114">
        <v>572160</v>
      </c>
      <c r="D114">
        <v>584160</v>
      </c>
    </row>
    <row r="115" spans="2:4" x14ac:dyDescent="0.2">
      <c r="B115">
        <v>3</v>
      </c>
      <c r="C115">
        <v>572160</v>
      </c>
      <c r="D115">
        <v>583380</v>
      </c>
    </row>
    <row r="116" spans="2:4" x14ac:dyDescent="0.2">
      <c r="B116">
        <v>1</v>
      </c>
      <c r="C116">
        <v>580680</v>
      </c>
      <c r="D116">
        <v>562740</v>
      </c>
    </row>
    <row r="117" spans="2:4" x14ac:dyDescent="0.2">
      <c r="B117">
        <v>4</v>
      </c>
      <c r="C117">
        <v>580680</v>
      </c>
      <c r="D117">
        <v>574800</v>
      </c>
    </row>
    <row r="118" spans="2:4" x14ac:dyDescent="0.2">
      <c r="B118">
        <v>2</v>
      </c>
      <c r="C118">
        <v>574380</v>
      </c>
      <c r="D118">
        <v>575820</v>
      </c>
    </row>
    <row r="119" spans="2:4" x14ac:dyDescent="0.2">
      <c r="B119">
        <v>7</v>
      </c>
      <c r="C119">
        <v>574380</v>
      </c>
      <c r="D119">
        <v>571680</v>
      </c>
    </row>
    <row r="120" spans="2:4" x14ac:dyDescent="0.2">
      <c r="B120">
        <v>1</v>
      </c>
      <c r="C120">
        <v>574380</v>
      </c>
      <c r="D120">
        <v>568260</v>
      </c>
    </row>
    <row r="121" spans="2:4" x14ac:dyDescent="0.2">
      <c r="B121">
        <v>3</v>
      </c>
      <c r="C121">
        <v>557460</v>
      </c>
      <c r="D121">
        <v>531060</v>
      </c>
    </row>
    <row r="122" spans="2:4" x14ac:dyDescent="0.2">
      <c r="B122">
        <v>1</v>
      </c>
      <c r="C122">
        <v>557460</v>
      </c>
      <c r="D122">
        <v>534240</v>
      </c>
    </row>
    <row r="123" spans="2:4" x14ac:dyDescent="0.2">
      <c r="B123">
        <v>1</v>
      </c>
      <c r="C123">
        <v>557460</v>
      </c>
      <c r="D123">
        <v>534420</v>
      </c>
    </row>
    <row r="124" spans="2:4" x14ac:dyDescent="0.2">
      <c r="B124">
        <v>2</v>
      </c>
      <c r="C124">
        <v>558120</v>
      </c>
      <c r="D124">
        <v>531060</v>
      </c>
    </row>
    <row r="125" spans="2:4" x14ac:dyDescent="0.2">
      <c r="B125">
        <v>4</v>
      </c>
      <c r="C125">
        <v>558120</v>
      </c>
      <c r="D125">
        <v>534240</v>
      </c>
    </row>
    <row r="126" spans="2:4" x14ac:dyDescent="0.2">
      <c r="B126">
        <v>2</v>
      </c>
      <c r="C126">
        <v>558120</v>
      </c>
      <c r="D126">
        <v>534420</v>
      </c>
    </row>
    <row r="127" spans="2:4" x14ac:dyDescent="0.2">
      <c r="B127">
        <v>3</v>
      </c>
      <c r="C127">
        <v>554760</v>
      </c>
      <c r="D127">
        <v>534240</v>
      </c>
    </row>
    <row r="128" spans="2:4" x14ac:dyDescent="0.2">
      <c r="B128">
        <v>2</v>
      </c>
      <c r="C128">
        <v>554760</v>
      </c>
      <c r="D128">
        <v>541140</v>
      </c>
    </row>
    <row r="129" spans="2:4" x14ac:dyDescent="0.2">
      <c r="B129">
        <v>1</v>
      </c>
      <c r="C129">
        <v>554760</v>
      </c>
      <c r="D129">
        <v>547020</v>
      </c>
    </row>
    <row r="130" spans="2:4" x14ac:dyDescent="0.2">
      <c r="B130">
        <v>2</v>
      </c>
      <c r="C130">
        <v>554760</v>
      </c>
      <c r="D130">
        <v>541140</v>
      </c>
    </row>
    <row r="131" spans="2:4" x14ac:dyDescent="0.2">
      <c r="B131">
        <v>1</v>
      </c>
      <c r="C131">
        <v>552060</v>
      </c>
      <c r="D131">
        <v>534240</v>
      </c>
    </row>
    <row r="132" spans="2:4" x14ac:dyDescent="0.2">
      <c r="B132">
        <v>3</v>
      </c>
      <c r="C132">
        <v>552060</v>
      </c>
      <c r="D132">
        <v>534420</v>
      </c>
    </row>
    <row r="133" spans="2:4" x14ac:dyDescent="0.2">
      <c r="B133">
        <v>7</v>
      </c>
      <c r="C133">
        <v>552060</v>
      </c>
      <c r="D133">
        <v>538680</v>
      </c>
    </row>
    <row r="134" spans="2:4" x14ac:dyDescent="0.2">
      <c r="B134">
        <v>1</v>
      </c>
      <c r="C134">
        <v>552060</v>
      </c>
      <c r="D134">
        <v>540840</v>
      </c>
    </row>
    <row r="135" spans="2:4" x14ac:dyDescent="0.2">
      <c r="B135">
        <v>1</v>
      </c>
      <c r="C135">
        <v>552060</v>
      </c>
      <c r="D135">
        <v>545520</v>
      </c>
    </row>
    <row r="136" spans="2:4" x14ac:dyDescent="0.2">
      <c r="B136">
        <v>2</v>
      </c>
      <c r="C136">
        <v>552060</v>
      </c>
      <c r="D136">
        <v>541140</v>
      </c>
    </row>
    <row r="137" spans="2:4" x14ac:dyDescent="0.2">
      <c r="B137">
        <v>1</v>
      </c>
      <c r="C137">
        <v>552180</v>
      </c>
      <c r="D137">
        <v>542760</v>
      </c>
    </row>
    <row r="138" spans="2:4" x14ac:dyDescent="0.2">
      <c r="B138">
        <v>1</v>
      </c>
      <c r="C138">
        <v>552180</v>
      </c>
      <c r="D138">
        <v>534240</v>
      </c>
    </row>
    <row r="139" spans="2:4" x14ac:dyDescent="0.2">
      <c r="B139">
        <v>1</v>
      </c>
      <c r="C139">
        <v>552180</v>
      </c>
      <c r="D139">
        <v>538680</v>
      </c>
    </row>
    <row r="140" spans="2:4" x14ac:dyDescent="0.2">
      <c r="B140">
        <v>2</v>
      </c>
      <c r="C140">
        <v>552180</v>
      </c>
      <c r="D140">
        <v>545520</v>
      </c>
    </row>
    <row r="141" spans="2:4" x14ac:dyDescent="0.2">
      <c r="B141">
        <v>1</v>
      </c>
      <c r="C141">
        <v>552180</v>
      </c>
      <c r="D141">
        <v>548520</v>
      </c>
    </row>
    <row r="142" spans="2:4" x14ac:dyDescent="0.2">
      <c r="B142">
        <v>3</v>
      </c>
      <c r="C142">
        <v>552180</v>
      </c>
      <c r="D142">
        <v>541140</v>
      </c>
    </row>
    <row r="143" spans="2:4" x14ac:dyDescent="0.2">
      <c r="B143">
        <v>2</v>
      </c>
      <c r="C143">
        <v>562680</v>
      </c>
      <c r="D143">
        <v>533940</v>
      </c>
    </row>
    <row r="144" spans="2:4" x14ac:dyDescent="0.2">
      <c r="B144">
        <v>5</v>
      </c>
      <c r="C144">
        <v>562680</v>
      </c>
      <c r="D144">
        <v>541980</v>
      </c>
    </row>
    <row r="145" spans="2:4" x14ac:dyDescent="0.2">
      <c r="B145">
        <v>3</v>
      </c>
      <c r="C145">
        <v>578280</v>
      </c>
      <c r="D145">
        <v>533940</v>
      </c>
    </row>
    <row r="146" spans="2:4" x14ac:dyDescent="0.2">
      <c r="B146">
        <v>2</v>
      </c>
      <c r="C146">
        <v>549360</v>
      </c>
      <c r="D146">
        <v>533940</v>
      </c>
    </row>
    <row r="147" spans="2:4" x14ac:dyDescent="0.2">
      <c r="B147">
        <v>8</v>
      </c>
      <c r="C147">
        <v>549360</v>
      </c>
      <c r="D147">
        <v>538680</v>
      </c>
    </row>
    <row r="148" spans="2:4" x14ac:dyDescent="0.2">
      <c r="B148">
        <v>2</v>
      </c>
      <c r="C148">
        <v>554580</v>
      </c>
      <c r="D148">
        <v>534420</v>
      </c>
    </row>
    <row r="149" spans="2:4" x14ac:dyDescent="0.2">
      <c r="B149">
        <v>2</v>
      </c>
      <c r="C149">
        <v>554580</v>
      </c>
      <c r="D149">
        <v>540840</v>
      </c>
    </row>
    <row r="150" spans="2:4" x14ac:dyDescent="0.2">
      <c r="B150">
        <v>1</v>
      </c>
      <c r="C150">
        <v>554580</v>
      </c>
      <c r="D150">
        <v>545820</v>
      </c>
    </row>
    <row r="151" spans="2:4" x14ac:dyDescent="0.2">
      <c r="B151">
        <v>2</v>
      </c>
      <c r="C151">
        <v>554580</v>
      </c>
      <c r="D151">
        <v>547500</v>
      </c>
    </row>
    <row r="152" spans="2:4" x14ac:dyDescent="0.2">
      <c r="B152">
        <v>2</v>
      </c>
      <c r="C152">
        <v>553800</v>
      </c>
      <c r="D152">
        <v>542760</v>
      </c>
    </row>
    <row r="153" spans="2:4" x14ac:dyDescent="0.2">
      <c r="B153">
        <v>2</v>
      </c>
      <c r="C153">
        <v>553800</v>
      </c>
      <c r="D153">
        <v>534420</v>
      </c>
    </row>
    <row r="154" spans="2:4" x14ac:dyDescent="0.2">
      <c r="B154">
        <v>3</v>
      </c>
      <c r="C154">
        <v>553800</v>
      </c>
      <c r="D154">
        <v>538680</v>
      </c>
    </row>
    <row r="155" spans="2:4" x14ac:dyDescent="0.2">
      <c r="B155">
        <v>5</v>
      </c>
      <c r="C155">
        <v>553800</v>
      </c>
      <c r="D155">
        <v>540840</v>
      </c>
    </row>
    <row r="156" spans="2:4" x14ac:dyDescent="0.2">
      <c r="B156">
        <v>1</v>
      </c>
      <c r="C156">
        <v>555720</v>
      </c>
      <c r="D156">
        <v>538680</v>
      </c>
    </row>
    <row r="157" spans="2:4" x14ac:dyDescent="0.2">
      <c r="B157">
        <v>1</v>
      </c>
      <c r="C157">
        <v>555720</v>
      </c>
      <c r="D157">
        <v>540840</v>
      </c>
    </row>
    <row r="158" spans="2:4" x14ac:dyDescent="0.2">
      <c r="B158">
        <v>9</v>
      </c>
      <c r="C158">
        <v>555720</v>
      </c>
      <c r="D158">
        <v>545820</v>
      </c>
    </row>
    <row r="159" spans="2:4" x14ac:dyDescent="0.2">
      <c r="B159">
        <v>4</v>
      </c>
      <c r="C159">
        <v>555960</v>
      </c>
      <c r="D159">
        <v>542760</v>
      </c>
    </row>
    <row r="160" spans="2:4" x14ac:dyDescent="0.2">
      <c r="B160">
        <v>1</v>
      </c>
      <c r="C160">
        <v>555960</v>
      </c>
      <c r="D160">
        <v>538680</v>
      </c>
    </row>
    <row r="161" spans="2:4" x14ac:dyDescent="0.2">
      <c r="B161">
        <v>2</v>
      </c>
      <c r="C161">
        <v>555960</v>
      </c>
      <c r="D161">
        <v>545520</v>
      </c>
    </row>
    <row r="162" spans="2:4" x14ac:dyDescent="0.2">
      <c r="B162">
        <v>4</v>
      </c>
      <c r="C162">
        <v>555960</v>
      </c>
      <c r="D162">
        <v>547500</v>
      </c>
    </row>
    <row r="163" spans="2:4" x14ac:dyDescent="0.2">
      <c r="B163">
        <v>1</v>
      </c>
      <c r="C163">
        <v>555960</v>
      </c>
      <c r="D163">
        <v>548520</v>
      </c>
    </row>
    <row r="164" spans="2:4" x14ac:dyDescent="0.2">
      <c r="B164">
        <v>3</v>
      </c>
      <c r="C164">
        <v>563580</v>
      </c>
      <c r="D164">
        <v>534240</v>
      </c>
    </row>
    <row r="165" spans="2:4" x14ac:dyDescent="0.2">
      <c r="B165">
        <v>2</v>
      </c>
      <c r="C165">
        <v>563580</v>
      </c>
      <c r="D165">
        <v>541140</v>
      </c>
    </row>
    <row r="166" spans="2:4" x14ac:dyDescent="0.2">
      <c r="B166">
        <v>2</v>
      </c>
      <c r="C166">
        <v>558240</v>
      </c>
      <c r="D166">
        <v>541140</v>
      </c>
    </row>
    <row r="167" spans="2:4" x14ac:dyDescent="0.2">
      <c r="B167">
        <v>2</v>
      </c>
      <c r="C167">
        <v>558240</v>
      </c>
      <c r="D167">
        <v>547020</v>
      </c>
    </row>
    <row r="168" spans="2:4" x14ac:dyDescent="0.2">
      <c r="B168">
        <v>1</v>
      </c>
      <c r="C168">
        <v>558240</v>
      </c>
      <c r="D168">
        <v>541980</v>
      </c>
    </row>
    <row r="169" spans="2:4" x14ac:dyDescent="0.2">
      <c r="B169">
        <v>3</v>
      </c>
      <c r="C169">
        <v>564180</v>
      </c>
      <c r="D169">
        <v>542760</v>
      </c>
    </row>
    <row r="170" spans="2:4" x14ac:dyDescent="0.2">
      <c r="B170">
        <v>1</v>
      </c>
      <c r="C170">
        <v>564180</v>
      </c>
      <c r="D170">
        <v>540840</v>
      </c>
    </row>
    <row r="171" spans="2:4" x14ac:dyDescent="0.2">
      <c r="B171">
        <v>3</v>
      </c>
      <c r="C171">
        <v>564180</v>
      </c>
      <c r="D171">
        <v>545520</v>
      </c>
    </row>
    <row r="172" spans="2:4" x14ac:dyDescent="0.2">
      <c r="B172">
        <v>3</v>
      </c>
      <c r="C172">
        <v>564180</v>
      </c>
      <c r="D172">
        <v>547500</v>
      </c>
    </row>
    <row r="173" spans="2:4" x14ac:dyDescent="0.2">
      <c r="B173">
        <v>2</v>
      </c>
      <c r="C173">
        <v>564180</v>
      </c>
      <c r="D173">
        <v>548520</v>
      </c>
    </row>
    <row r="174" spans="2:4" x14ac:dyDescent="0.2">
      <c r="B174">
        <v>2</v>
      </c>
      <c r="C174">
        <v>569520</v>
      </c>
      <c r="D174">
        <v>538860</v>
      </c>
    </row>
    <row r="175" spans="2:4" x14ac:dyDescent="0.2">
      <c r="B175">
        <v>1</v>
      </c>
      <c r="C175">
        <v>570900</v>
      </c>
      <c r="D175">
        <v>555060</v>
      </c>
    </row>
    <row r="176" spans="2:4" x14ac:dyDescent="0.2">
      <c r="B176">
        <v>1</v>
      </c>
      <c r="C176">
        <v>570900</v>
      </c>
      <c r="D176">
        <v>550620</v>
      </c>
    </row>
    <row r="177" spans="2:4" x14ac:dyDescent="0.2">
      <c r="B177">
        <v>3</v>
      </c>
      <c r="C177">
        <v>570900</v>
      </c>
      <c r="D177">
        <v>541140</v>
      </c>
    </row>
    <row r="178" spans="2:4" x14ac:dyDescent="0.2">
      <c r="B178">
        <v>10</v>
      </c>
      <c r="C178">
        <v>570900</v>
      </c>
      <c r="D178">
        <v>545460</v>
      </c>
    </row>
    <row r="179" spans="2:4" x14ac:dyDescent="0.2">
      <c r="B179">
        <v>5</v>
      </c>
      <c r="C179">
        <v>559020</v>
      </c>
      <c r="D179">
        <v>550740</v>
      </c>
    </row>
    <row r="180" spans="2:4" x14ac:dyDescent="0.2">
      <c r="B180">
        <v>3</v>
      </c>
      <c r="C180">
        <v>559020</v>
      </c>
      <c r="D180">
        <v>545820</v>
      </c>
    </row>
    <row r="181" spans="2:4" x14ac:dyDescent="0.2">
      <c r="B181">
        <v>2</v>
      </c>
      <c r="C181">
        <v>559020</v>
      </c>
      <c r="D181">
        <v>547500</v>
      </c>
    </row>
    <row r="182" spans="2:4" x14ac:dyDescent="0.2">
      <c r="B182">
        <v>3</v>
      </c>
      <c r="C182">
        <v>552300</v>
      </c>
      <c r="D182">
        <v>547020</v>
      </c>
    </row>
    <row r="183" spans="2:4" x14ac:dyDescent="0.2">
      <c r="B183">
        <v>1</v>
      </c>
      <c r="C183">
        <v>552300</v>
      </c>
      <c r="D183">
        <v>548520</v>
      </c>
    </row>
    <row r="184" spans="2:4" x14ac:dyDescent="0.2">
      <c r="B184">
        <v>2</v>
      </c>
      <c r="C184">
        <v>552300</v>
      </c>
      <c r="D184">
        <v>541140</v>
      </c>
    </row>
    <row r="185" spans="2:4" x14ac:dyDescent="0.2">
      <c r="B185">
        <v>1</v>
      </c>
      <c r="C185">
        <v>569460</v>
      </c>
      <c r="D185">
        <v>547020</v>
      </c>
    </row>
    <row r="186" spans="2:4" x14ac:dyDescent="0.2">
      <c r="B186">
        <v>1</v>
      </c>
      <c r="C186">
        <v>569460</v>
      </c>
      <c r="D186">
        <v>548520</v>
      </c>
    </row>
    <row r="187" spans="2:4" x14ac:dyDescent="0.2">
      <c r="B187">
        <v>3</v>
      </c>
      <c r="C187">
        <v>569460</v>
      </c>
      <c r="D187">
        <v>552840</v>
      </c>
    </row>
    <row r="188" spans="2:4" x14ac:dyDescent="0.2">
      <c r="B188">
        <v>1</v>
      </c>
      <c r="C188">
        <v>569460</v>
      </c>
      <c r="D188">
        <v>548760</v>
      </c>
    </row>
    <row r="189" spans="2:4" x14ac:dyDescent="0.2">
      <c r="B189">
        <v>1</v>
      </c>
      <c r="C189">
        <v>569460</v>
      </c>
      <c r="D189">
        <v>541140</v>
      </c>
    </row>
    <row r="190" spans="2:4" x14ac:dyDescent="0.2">
      <c r="B190">
        <v>1</v>
      </c>
      <c r="C190">
        <v>558900</v>
      </c>
      <c r="D190">
        <v>542760</v>
      </c>
    </row>
    <row r="191" spans="2:4" x14ac:dyDescent="0.2">
      <c r="B191">
        <v>3</v>
      </c>
      <c r="C191">
        <v>558900</v>
      </c>
      <c r="D191">
        <v>545520</v>
      </c>
    </row>
    <row r="192" spans="2:4" x14ac:dyDescent="0.2">
      <c r="B192">
        <v>1</v>
      </c>
      <c r="C192">
        <v>558900</v>
      </c>
      <c r="D192">
        <v>547500</v>
      </c>
    </row>
    <row r="193" spans="2:4" x14ac:dyDescent="0.2">
      <c r="B193">
        <v>3</v>
      </c>
      <c r="C193">
        <v>558900</v>
      </c>
      <c r="D193">
        <v>548520</v>
      </c>
    </row>
    <row r="194" spans="2:4" x14ac:dyDescent="0.2">
      <c r="B194">
        <v>1</v>
      </c>
      <c r="C194">
        <v>567720</v>
      </c>
      <c r="D194">
        <v>547500</v>
      </c>
    </row>
    <row r="195" spans="2:4" x14ac:dyDescent="0.2">
      <c r="B195">
        <v>8</v>
      </c>
      <c r="C195">
        <v>567720</v>
      </c>
      <c r="D195">
        <v>552480</v>
      </c>
    </row>
    <row r="196" spans="2:4" x14ac:dyDescent="0.2">
      <c r="B196">
        <v>3</v>
      </c>
      <c r="C196">
        <v>572940</v>
      </c>
      <c r="D196">
        <v>540120</v>
      </c>
    </row>
    <row r="197" spans="2:4" x14ac:dyDescent="0.2">
      <c r="B197">
        <v>8</v>
      </c>
      <c r="C197">
        <v>572940</v>
      </c>
      <c r="D197">
        <v>549120</v>
      </c>
    </row>
    <row r="198" spans="2:4" x14ac:dyDescent="0.2">
      <c r="B198">
        <v>6</v>
      </c>
      <c r="C198">
        <v>566460</v>
      </c>
      <c r="D198">
        <v>549120</v>
      </c>
    </row>
    <row r="199" spans="2:4" x14ac:dyDescent="0.2">
      <c r="B199">
        <v>1</v>
      </c>
      <c r="C199">
        <v>566460</v>
      </c>
      <c r="D199">
        <v>552480</v>
      </c>
    </row>
    <row r="200" spans="2:4" x14ac:dyDescent="0.2">
      <c r="B200">
        <v>1</v>
      </c>
      <c r="C200">
        <v>564720</v>
      </c>
      <c r="D200">
        <v>552480</v>
      </c>
    </row>
    <row r="201" spans="2:4" x14ac:dyDescent="0.2">
      <c r="B201">
        <v>1</v>
      </c>
      <c r="C201">
        <v>564720</v>
      </c>
      <c r="D201">
        <v>552840</v>
      </c>
    </row>
    <row r="202" spans="2:4" x14ac:dyDescent="0.2">
      <c r="B202">
        <v>1</v>
      </c>
      <c r="C202">
        <v>564720</v>
      </c>
      <c r="D202">
        <v>554940</v>
      </c>
    </row>
    <row r="203" spans="2:4" x14ac:dyDescent="0.2">
      <c r="B203">
        <v>4</v>
      </c>
      <c r="C203">
        <v>564720</v>
      </c>
      <c r="D203">
        <v>556860</v>
      </c>
    </row>
    <row r="204" spans="2:4" x14ac:dyDescent="0.2">
      <c r="B204">
        <v>2</v>
      </c>
      <c r="C204">
        <v>579000</v>
      </c>
      <c r="D204">
        <v>552480</v>
      </c>
    </row>
    <row r="205" spans="2:4" x14ac:dyDescent="0.2">
      <c r="B205">
        <v>1</v>
      </c>
      <c r="C205">
        <v>579000</v>
      </c>
      <c r="D205">
        <v>556500</v>
      </c>
    </row>
    <row r="206" spans="2:4" x14ac:dyDescent="0.2">
      <c r="B206">
        <v>1</v>
      </c>
      <c r="C206">
        <v>579000</v>
      </c>
      <c r="D206">
        <v>556860</v>
      </c>
    </row>
    <row r="207" spans="2:4" x14ac:dyDescent="0.2">
      <c r="B207">
        <v>6</v>
      </c>
      <c r="C207">
        <v>565260</v>
      </c>
      <c r="D207">
        <v>552840</v>
      </c>
    </row>
    <row r="208" spans="2:4" x14ac:dyDescent="0.2">
      <c r="B208">
        <v>1</v>
      </c>
      <c r="C208">
        <v>565260</v>
      </c>
      <c r="D208">
        <v>556500</v>
      </c>
    </row>
    <row r="209" spans="2:4" x14ac:dyDescent="0.2">
      <c r="B209">
        <v>2</v>
      </c>
      <c r="C209">
        <v>567360</v>
      </c>
      <c r="D209">
        <v>550740</v>
      </c>
    </row>
    <row r="210" spans="2:4" x14ac:dyDescent="0.2">
      <c r="B210">
        <v>8</v>
      </c>
      <c r="C210">
        <v>567360</v>
      </c>
      <c r="D210">
        <v>554460</v>
      </c>
    </row>
    <row r="211" spans="2:4" x14ac:dyDescent="0.2">
      <c r="B211">
        <v>1</v>
      </c>
      <c r="C211">
        <v>563460</v>
      </c>
      <c r="D211">
        <v>554460</v>
      </c>
    </row>
    <row r="212" spans="2:4" x14ac:dyDescent="0.2">
      <c r="B212">
        <v>5</v>
      </c>
      <c r="C212">
        <v>563460</v>
      </c>
      <c r="D212">
        <v>554940</v>
      </c>
    </row>
    <row r="213" spans="2:4" x14ac:dyDescent="0.2">
      <c r="B213">
        <v>1</v>
      </c>
      <c r="C213">
        <v>563460</v>
      </c>
      <c r="D213">
        <v>556860</v>
      </c>
    </row>
    <row r="214" spans="2:4" x14ac:dyDescent="0.2">
      <c r="B214">
        <v>1</v>
      </c>
      <c r="C214">
        <v>565320</v>
      </c>
      <c r="D214">
        <v>554460</v>
      </c>
    </row>
    <row r="215" spans="2:4" x14ac:dyDescent="0.2">
      <c r="B215">
        <v>7</v>
      </c>
      <c r="C215">
        <v>565320</v>
      </c>
      <c r="D215">
        <v>558300</v>
      </c>
    </row>
    <row r="216" spans="2:4" x14ac:dyDescent="0.2">
      <c r="B216">
        <v>1</v>
      </c>
      <c r="C216">
        <v>565320</v>
      </c>
      <c r="D216">
        <v>560160</v>
      </c>
    </row>
    <row r="217" spans="2:4" x14ac:dyDescent="0.2">
      <c r="B217">
        <v>1</v>
      </c>
      <c r="C217">
        <v>563340</v>
      </c>
      <c r="D217">
        <v>554460</v>
      </c>
    </row>
    <row r="218" spans="2:4" x14ac:dyDescent="0.2">
      <c r="B218">
        <v>8</v>
      </c>
      <c r="C218">
        <v>563340</v>
      </c>
      <c r="D218">
        <v>558300</v>
      </c>
    </row>
    <row r="219" spans="2:4" x14ac:dyDescent="0.2">
      <c r="B219">
        <v>2</v>
      </c>
      <c r="C219">
        <v>563340</v>
      </c>
      <c r="D219">
        <v>560160</v>
      </c>
    </row>
    <row r="220" spans="2:4" x14ac:dyDescent="0.2">
      <c r="B220">
        <v>1</v>
      </c>
      <c r="C220">
        <v>563340</v>
      </c>
      <c r="D220">
        <v>562800</v>
      </c>
    </row>
    <row r="221" spans="2:4" x14ac:dyDescent="0.2">
      <c r="B221">
        <v>2</v>
      </c>
      <c r="C221">
        <v>563340</v>
      </c>
      <c r="D221">
        <v>566280</v>
      </c>
    </row>
    <row r="222" spans="2:4" x14ac:dyDescent="0.2">
      <c r="B222">
        <v>1</v>
      </c>
      <c r="C222">
        <v>564840</v>
      </c>
      <c r="D222">
        <v>552840</v>
      </c>
    </row>
    <row r="223" spans="2:4" x14ac:dyDescent="0.2">
      <c r="B223">
        <v>6</v>
      </c>
      <c r="C223">
        <v>564840</v>
      </c>
      <c r="D223">
        <v>556860</v>
      </c>
    </row>
    <row r="224" spans="2:4" x14ac:dyDescent="0.2">
      <c r="B224">
        <v>5</v>
      </c>
      <c r="C224">
        <v>559320</v>
      </c>
      <c r="D224">
        <v>559500</v>
      </c>
    </row>
    <row r="225" spans="2:4" x14ac:dyDescent="0.2">
      <c r="B225">
        <v>3</v>
      </c>
      <c r="C225">
        <v>559320</v>
      </c>
      <c r="D225">
        <v>560160</v>
      </c>
    </row>
    <row r="226" spans="2:4" x14ac:dyDescent="0.2">
      <c r="B226">
        <v>1</v>
      </c>
      <c r="C226">
        <v>559320</v>
      </c>
      <c r="D226">
        <v>560820</v>
      </c>
    </row>
    <row r="227" spans="2:4" x14ac:dyDescent="0.2">
      <c r="B227">
        <v>1</v>
      </c>
      <c r="C227">
        <v>559320</v>
      </c>
      <c r="D227">
        <v>564120</v>
      </c>
    </row>
    <row r="228" spans="2:4" x14ac:dyDescent="0.2">
      <c r="B228">
        <v>1</v>
      </c>
      <c r="C228">
        <v>573780</v>
      </c>
      <c r="D228">
        <v>557940</v>
      </c>
    </row>
    <row r="229" spans="2:4" x14ac:dyDescent="0.2">
      <c r="B229">
        <v>2</v>
      </c>
      <c r="C229">
        <v>560340</v>
      </c>
      <c r="D229">
        <v>560160</v>
      </c>
    </row>
    <row r="230" spans="2:4" x14ac:dyDescent="0.2">
      <c r="B230">
        <v>3</v>
      </c>
      <c r="C230">
        <v>560340</v>
      </c>
      <c r="D230">
        <v>564120</v>
      </c>
    </row>
    <row r="231" spans="2:4" x14ac:dyDescent="0.2">
      <c r="B231">
        <v>6</v>
      </c>
      <c r="C231">
        <v>560340</v>
      </c>
      <c r="D231">
        <v>566280</v>
      </c>
    </row>
    <row r="232" spans="2:4" x14ac:dyDescent="0.2">
      <c r="B232">
        <v>1</v>
      </c>
      <c r="C232">
        <v>562860</v>
      </c>
      <c r="D232">
        <v>559500</v>
      </c>
    </row>
    <row r="233" spans="2:4" x14ac:dyDescent="0.2">
      <c r="B233">
        <v>5</v>
      </c>
      <c r="C233">
        <v>562860</v>
      </c>
      <c r="D233">
        <v>560820</v>
      </c>
    </row>
    <row r="234" spans="2:4" x14ac:dyDescent="0.2">
      <c r="B234">
        <v>3</v>
      </c>
      <c r="C234">
        <v>560760</v>
      </c>
      <c r="D234">
        <v>560820</v>
      </c>
    </row>
    <row r="235" spans="2:4" x14ac:dyDescent="0.2">
      <c r="B235">
        <v>2</v>
      </c>
      <c r="C235">
        <v>560760</v>
      </c>
      <c r="D235">
        <v>564120</v>
      </c>
    </row>
    <row r="236" spans="2:4" x14ac:dyDescent="0.2">
      <c r="B236">
        <v>2</v>
      </c>
      <c r="C236">
        <v>560760</v>
      </c>
      <c r="D236">
        <v>565980</v>
      </c>
    </row>
    <row r="237" spans="2:4" x14ac:dyDescent="0.2">
      <c r="B237">
        <v>3</v>
      </c>
      <c r="C237">
        <v>578940</v>
      </c>
      <c r="D237">
        <v>561540</v>
      </c>
    </row>
    <row r="238" spans="2:4" x14ac:dyDescent="0.2">
      <c r="B238">
        <v>5</v>
      </c>
      <c r="C238">
        <v>573180</v>
      </c>
      <c r="D238">
        <v>561540</v>
      </c>
    </row>
    <row r="239" spans="2:4" x14ac:dyDescent="0.2">
      <c r="B239">
        <v>3</v>
      </c>
      <c r="C239">
        <v>573180</v>
      </c>
      <c r="D239">
        <v>566220</v>
      </c>
    </row>
    <row r="240" spans="2:4" x14ac:dyDescent="0.2">
      <c r="B240">
        <v>5</v>
      </c>
      <c r="C240">
        <v>564180</v>
      </c>
      <c r="D240">
        <v>562800</v>
      </c>
    </row>
    <row r="241" spans="2:4" x14ac:dyDescent="0.2">
      <c r="B241">
        <v>5</v>
      </c>
      <c r="C241">
        <v>559980</v>
      </c>
      <c r="D241">
        <v>564120</v>
      </c>
    </row>
    <row r="242" spans="2:4" x14ac:dyDescent="0.2">
      <c r="B242">
        <v>1</v>
      </c>
      <c r="C242">
        <v>559980</v>
      </c>
      <c r="D242">
        <v>566280</v>
      </c>
    </row>
    <row r="243" spans="2:4" x14ac:dyDescent="0.2">
      <c r="B243">
        <v>1</v>
      </c>
      <c r="C243">
        <v>559980</v>
      </c>
      <c r="D243">
        <v>565980</v>
      </c>
    </row>
    <row r="244" spans="2:4" x14ac:dyDescent="0.2">
      <c r="B244">
        <v>4</v>
      </c>
      <c r="C244">
        <v>569520</v>
      </c>
      <c r="D244">
        <v>564720</v>
      </c>
    </row>
    <row r="245" spans="2:4" x14ac:dyDescent="0.2">
      <c r="B245">
        <v>3</v>
      </c>
      <c r="C245">
        <v>569520</v>
      </c>
      <c r="D245">
        <v>565560</v>
      </c>
    </row>
    <row r="246" spans="2:4" x14ac:dyDescent="0.2">
      <c r="B246">
        <v>1</v>
      </c>
      <c r="C246">
        <v>569520</v>
      </c>
      <c r="D246">
        <v>568380</v>
      </c>
    </row>
    <row r="247" spans="2:4" x14ac:dyDescent="0.2">
      <c r="B247">
        <v>1</v>
      </c>
      <c r="C247">
        <v>569520</v>
      </c>
      <c r="D247">
        <v>570420</v>
      </c>
    </row>
    <row r="248" spans="2:4" x14ac:dyDescent="0.2">
      <c r="B248">
        <v>4</v>
      </c>
      <c r="C248">
        <v>574500</v>
      </c>
      <c r="D248">
        <v>565980</v>
      </c>
    </row>
    <row r="249" spans="2:4" x14ac:dyDescent="0.2">
      <c r="B249">
        <v>2</v>
      </c>
      <c r="C249">
        <v>574500</v>
      </c>
      <c r="D249">
        <v>565560</v>
      </c>
    </row>
    <row r="250" spans="2:4" x14ac:dyDescent="0.2">
      <c r="B250">
        <v>1</v>
      </c>
      <c r="C250">
        <v>574500</v>
      </c>
      <c r="D250">
        <v>568380</v>
      </c>
    </row>
    <row r="251" spans="2:4" x14ac:dyDescent="0.2">
      <c r="B251">
        <v>3</v>
      </c>
      <c r="C251">
        <v>574500</v>
      </c>
      <c r="D251">
        <v>570780</v>
      </c>
    </row>
    <row r="252" spans="2:4" x14ac:dyDescent="0.2">
      <c r="B252">
        <v>4</v>
      </c>
      <c r="C252">
        <v>583200</v>
      </c>
      <c r="D252">
        <v>568260</v>
      </c>
    </row>
    <row r="253" spans="2:4" x14ac:dyDescent="0.2">
      <c r="B253">
        <v>2</v>
      </c>
      <c r="C253">
        <v>577080</v>
      </c>
      <c r="D253">
        <v>561540</v>
      </c>
    </row>
    <row r="254" spans="2:4" x14ac:dyDescent="0.2">
      <c r="B254">
        <v>3</v>
      </c>
      <c r="C254">
        <v>577080</v>
      </c>
      <c r="D254">
        <v>565560</v>
      </c>
    </row>
    <row r="255" spans="2:4" x14ac:dyDescent="0.2">
      <c r="B255">
        <v>1</v>
      </c>
      <c r="C255">
        <v>577080</v>
      </c>
      <c r="D255">
        <v>566220</v>
      </c>
    </row>
    <row r="256" spans="2:4" x14ac:dyDescent="0.2">
      <c r="B256">
        <v>2</v>
      </c>
      <c r="C256">
        <v>577080</v>
      </c>
      <c r="D256">
        <v>570600</v>
      </c>
    </row>
    <row r="257" spans="2:4" x14ac:dyDescent="0.2">
      <c r="B257">
        <v>3</v>
      </c>
      <c r="C257">
        <v>576120</v>
      </c>
      <c r="D257">
        <v>570420</v>
      </c>
    </row>
    <row r="258" spans="2:4" x14ac:dyDescent="0.2">
      <c r="B258">
        <v>1</v>
      </c>
      <c r="C258">
        <v>576120</v>
      </c>
      <c r="D258">
        <v>570600</v>
      </c>
    </row>
    <row r="259" spans="2:4" x14ac:dyDescent="0.2">
      <c r="B259">
        <v>1</v>
      </c>
      <c r="C259">
        <v>576120</v>
      </c>
      <c r="D259">
        <v>575940</v>
      </c>
    </row>
    <row r="260" spans="2:4" x14ac:dyDescent="0.2">
      <c r="B260">
        <v>1</v>
      </c>
      <c r="C260">
        <v>576120</v>
      </c>
      <c r="D260">
        <v>577500</v>
      </c>
    </row>
    <row r="261" spans="2:4" x14ac:dyDescent="0.2">
      <c r="B261">
        <v>1</v>
      </c>
      <c r="C261">
        <v>575760</v>
      </c>
      <c r="D261">
        <v>565560</v>
      </c>
    </row>
    <row r="262" spans="2:4" x14ac:dyDescent="0.2">
      <c r="B262">
        <v>1</v>
      </c>
      <c r="C262">
        <v>575760</v>
      </c>
      <c r="D262">
        <v>568380</v>
      </c>
    </row>
    <row r="263" spans="2:4" x14ac:dyDescent="0.2">
      <c r="B263">
        <v>3</v>
      </c>
      <c r="C263">
        <v>575760</v>
      </c>
      <c r="D263">
        <v>570420</v>
      </c>
    </row>
    <row r="264" spans="2:4" x14ac:dyDescent="0.2">
      <c r="B264">
        <v>1</v>
      </c>
      <c r="C264">
        <v>575760</v>
      </c>
      <c r="D264">
        <v>570600</v>
      </c>
    </row>
    <row r="265" spans="2:4" x14ac:dyDescent="0.2">
      <c r="B265">
        <v>2</v>
      </c>
      <c r="C265">
        <v>575760</v>
      </c>
      <c r="D265">
        <v>575940</v>
      </c>
    </row>
    <row r="266" spans="2:4" x14ac:dyDescent="0.2">
      <c r="B266">
        <v>1</v>
      </c>
      <c r="C266">
        <v>564540</v>
      </c>
      <c r="D266">
        <v>570420</v>
      </c>
    </row>
    <row r="267" spans="2:4" x14ac:dyDescent="0.2">
      <c r="B267">
        <v>1</v>
      </c>
      <c r="C267">
        <v>564540</v>
      </c>
      <c r="D267">
        <v>570600</v>
      </c>
    </row>
    <row r="268" spans="2:4" x14ac:dyDescent="0.2">
      <c r="B268">
        <v>3</v>
      </c>
      <c r="C268">
        <v>564540</v>
      </c>
      <c r="D268">
        <v>575940</v>
      </c>
    </row>
    <row r="269" spans="2:4" x14ac:dyDescent="0.2">
      <c r="B269">
        <v>1</v>
      </c>
      <c r="C269">
        <v>564540</v>
      </c>
      <c r="D269">
        <v>577500</v>
      </c>
    </row>
    <row r="270" spans="2:4" x14ac:dyDescent="0.2">
      <c r="B270">
        <v>2</v>
      </c>
      <c r="C270">
        <v>573480</v>
      </c>
      <c r="D270">
        <v>570600</v>
      </c>
    </row>
    <row r="271" spans="2:4" x14ac:dyDescent="0.2">
      <c r="B271">
        <v>2</v>
      </c>
      <c r="C271">
        <v>569940</v>
      </c>
      <c r="D271">
        <v>570600</v>
      </c>
    </row>
    <row r="272" spans="2:4" x14ac:dyDescent="0.2">
      <c r="B272">
        <v>4</v>
      </c>
      <c r="C272">
        <v>569940</v>
      </c>
      <c r="D272">
        <v>577500</v>
      </c>
    </row>
    <row r="273" spans="2:4" x14ac:dyDescent="0.2">
      <c r="B273">
        <v>4</v>
      </c>
      <c r="C273">
        <v>574800</v>
      </c>
      <c r="D273">
        <v>576240</v>
      </c>
    </row>
    <row r="274" spans="2:4" x14ac:dyDescent="0.2">
      <c r="B274">
        <v>1</v>
      </c>
      <c r="C274">
        <v>574980</v>
      </c>
      <c r="D274">
        <v>561540</v>
      </c>
    </row>
    <row r="275" spans="2:4" x14ac:dyDescent="0.2">
      <c r="B275">
        <v>2</v>
      </c>
      <c r="C275">
        <v>574980</v>
      </c>
      <c r="D275">
        <v>565560</v>
      </c>
    </row>
    <row r="276" spans="2:4" x14ac:dyDescent="0.2">
      <c r="B276">
        <v>2</v>
      </c>
      <c r="C276">
        <v>574980</v>
      </c>
      <c r="D276">
        <v>568380</v>
      </c>
    </row>
    <row r="277" spans="2:4" x14ac:dyDescent="0.2">
      <c r="B277">
        <v>1</v>
      </c>
      <c r="C277">
        <v>574980</v>
      </c>
      <c r="D277">
        <v>570600</v>
      </c>
    </row>
    <row r="278" spans="2:4" x14ac:dyDescent="0.2">
      <c r="B278">
        <v>2</v>
      </c>
      <c r="C278">
        <v>577080</v>
      </c>
      <c r="D278">
        <v>589560</v>
      </c>
    </row>
    <row r="279" spans="2:4" x14ac:dyDescent="0.2">
      <c r="B279">
        <v>6</v>
      </c>
      <c r="C279">
        <v>577860</v>
      </c>
      <c r="D279">
        <v>589560</v>
      </c>
    </row>
    <row r="280" spans="2:4" x14ac:dyDescent="0.2">
      <c r="B280">
        <v>2</v>
      </c>
      <c r="C280">
        <v>571200</v>
      </c>
      <c r="D280">
        <v>550620</v>
      </c>
    </row>
    <row r="281" spans="2:4" x14ac:dyDescent="0.2">
      <c r="B281">
        <v>4</v>
      </c>
      <c r="C281">
        <v>571200</v>
      </c>
      <c r="D281">
        <v>541140</v>
      </c>
    </row>
    <row r="282" spans="2:4" x14ac:dyDescent="0.2">
      <c r="B282">
        <v>2</v>
      </c>
      <c r="C282">
        <v>561480</v>
      </c>
      <c r="D282">
        <v>541140</v>
      </c>
    </row>
    <row r="283" spans="2:4" x14ac:dyDescent="0.2">
      <c r="B283">
        <v>2</v>
      </c>
      <c r="C283">
        <v>561480</v>
      </c>
      <c r="D283">
        <v>547020</v>
      </c>
    </row>
    <row r="284" spans="2:4" x14ac:dyDescent="0.2">
      <c r="B284">
        <v>1</v>
      </c>
      <c r="C284">
        <v>561480</v>
      </c>
      <c r="D284">
        <v>541980</v>
      </c>
    </row>
    <row r="285" spans="2:4" x14ac:dyDescent="0.2">
      <c r="B285">
        <v>2</v>
      </c>
      <c r="C285">
        <v>560040</v>
      </c>
      <c r="D285">
        <v>541980</v>
      </c>
    </row>
    <row r="286" spans="2:4" x14ac:dyDescent="0.2">
      <c r="B286">
        <v>6</v>
      </c>
      <c r="C286">
        <v>562380</v>
      </c>
      <c r="D286">
        <v>550740</v>
      </c>
    </row>
    <row r="287" spans="2:4" x14ac:dyDescent="0.2">
      <c r="B287">
        <v>2</v>
      </c>
      <c r="C287">
        <v>584280</v>
      </c>
      <c r="D287">
        <v>576240</v>
      </c>
    </row>
    <row r="288" spans="2:4" x14ac:dyDescent="0.2">
      <c r="B288">
        <v>2</v>
      </c>
      <c r="C288">
        <v>584280</v>
      </c>
      <c r="D288">
        <v>577500</v>
      </c>
    </row>
    <row r="289" spans="2:4" x14ac:dyDescent="0.2">
      <c r="B289">
        <v>2</v>
      </c>
      <c r="C289">
        <v>584280</v>
      </c>
      <c r="D289">
        <v>583380</v>
      </c>
    </row>
    <row r="290" spans="2:4" x14ac:dyDescent="0.2">
      <c r="B290">
        <v>3</v>
      </c>
      <c r="C290">
        <v>572280</v>
      </c>
      <c r="D290">
        <v>583380</v>
      </c>
    </row>
    <row r="291" spans="2:4" x14ac:dyDescent="0.2">
      <c r="B291">
        <v>1</v>
      </c>
      <c r="C291">
        <v>579720</v>
      </c>
      <c r="D291">
        <v>590940</v>
      </c>
    </row>
    <row r="292" spans="2:4" x14ac:dyDescent="0.2">
      <c r="B292">
        <v>4</v>
      </c>
      <c r="C292">
        <v>579720</v>
      </c>
      <c r="D292">
        <v>590340</v>
      </c>
    </row>
    <row r="293" spans="2:4" x14ac:dyDescent="0.2">
      <c r="B293">
        <v>8</v>
      </c>
      <c r="C293">
        <v>579720</v>
      </c>
      <c r="D293">
        <v>588660</v>
      </c>
    </row>
    <row r="294" spans="2:4" x14ac:dyDescent="0.2">
      <c r="B294">
        <v>1</v>
      </c>
      <c r="C294">
        <v>579720</v>
      </c>
      <c r="D294">
        <v>589560</v>
      </c>
    </row>
    <row r="295" spans="2:4" x14ac:dyDescent="0.2">
      <c r="B295">
        <v>3</v>
      </c>
      <c r="C295">
        <v>571500</v>
      </c>
      <c r="D295">
        <v>554940</v>
      </c>
    </row>
    <row r="296" spans="2:4" x14ac:dyDescent="0.2">
      <c r="B296">
        <v>1</v>
      </c>
      <c r="C296">
        <v>571500</v>
      </c>
      <c r="D296">
        <v>558300</v>
      </c>
    </row>
    <row r="297" spans="2:4" x14ac:dyDescent="0.2">
      <c r="B297">
        <v>2</v>
      </c>
      <c r="C297">
        <v>571500</v>
      </c>
      <c r="D297">
        <v>559500</v>
      </c>
    </row>
    <row r="298" spans="2:4" x14ac:dyDescent="0.2">
      <c r="B298">
        <v>7</v>
      </c>
      <c r="C298">
        <v>571740</v>
      </c>
      <c r="D298">
        <v>559500</v>
      </c>
    </row>
    <row r="299" spans="2:4" x14ac:dyDescent="0.2">
      <c r="B299">
        <v>1</v>
      </c>
      <c r="C299">
        <v>571740</v>
      </c>
      <c r="D299">
        <v>560160</v>
      </c>
    </row>
    <row r="300" spans="2:4" x14ac:dyDescent="0.2">
      <c r="B300">
        <v>6</v>
      </c>
      <c r="C300">
        <v>558840</v>
      </c>
      <c r="D300">
        <v>564720</v>
      </c>
    </row>
    <row r="301" spans="2:4" x14ac:dyDescent="0.2">
      <c r="B301">
        <v>1</v>
      </c>
      <c r="C301">
        <v>558840</v>
      </c>
      <c r="D301">
        <v>565980</v>
      </c>
    </row>
    <row r="302" spans="2:4" x14ac:dyDescent="0.2">
      <c r="B302">
        <v>2</v>
      </c>
      <c r="C302">
        <v>558840</v>
      </c>
      <c r="D302">
        <v>570780</v>
      </c>
    </row>
    <row r="303" spans="2:4" x14ac:dyDescent="0.2">
      <c r="B303">
        <v>2</v>
      </c>
      <c r="C303">
        <v>550980</v>
      </c>
      <c r="D303">
        <v>556500</v>
      </c>
    </row>
    <row r="304" spans="2:4" x14ac:dyDescent="0.2">
      <c r="B304">
        <v>1</v>
      </c>
      <c r="C304">
        <v>550980</v>
      </c>
      <c r="D304">
        <v>548760</v>
      </c>
    </row>
    <row r="305" spans="2:4" x14ac:dyDescent="0.2">
      <c r="B305">
        <v>1</v>
      </c>
      <c r="C305">
        <v>575100</v>
      </c>
      <c r="D305">
        <v>557940</v>
      </c>
    </row>
    <row r="306" spans="2:4" x14ac:dyDescent="0.2">
      <c r="B306">
        <v>1</v>
      </c>
      <c r="C306">
        <v>577260</v>
      </c>
      <c r="D306">
        <v>557940</v>
      </c>
    </row>
    <row r="307" spans="2:4" x14ac:dyDescent="0.2">
      <c r="B307">
        <v>4</v>
      </c>
      <c r="C307">
        <v>568140</v>
      </c>
      <c r="D307">
        <v>566220</v>
      </c>
    </row>
    <row r="308" spans="2:4" x14ac:dyDescent="0.2">
      <c r="B308">
        <v>1</v>
      </c>
      <c r="C308">
        <v>584460</v>
      </c>
      <c r="D308">
        <v>577500</v>
      </c>
    </row>
    <row r="309" spans="2:4" x14ac:dyDescent="0.2">
      <c r="B309">
        <v>1</v>
      </c>
      <c r="C309">
        <v>584460</v>
      </c>
      <c r="D309">
        <v>583380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67EC-B112-984A-814E-1005C4F3F62A}">
  <dimension ref="A1:L108"/>
  <sheetViews>
    <sheetView workbookViewId="0">
      <selection activeCell="D4" sqref="D4:D108"/>
    </sheetView>
  </sheetViews>
  <sheetFormatPr baseColWidth="10" defaultRowHeight="16" x14ac:dyDescent="0.2"/>
  <cols>
    <col min="2" max="2" width="25.33203125" customWidth="1"/>
    <col min="3" max="3" width="14.33203125" customWidth="1"/>
    <col min="7" max="7" width="22.33203125" customWidth="1"/>
  </cols>
  <sheetData>
    <row r="1" spans="1:12" x14ac:dyDescent="0.2">
      <c r="A1" s="1" t="s">
        <v>568</v>
      </c>
      <c r="D1" t="s">
        <v>136</v>
      </c>
      <c r="L1" t="s">
        <v>137</v>
      </c>
    </row>
    <row r="2" spans="1:12" x14ac:dyDescent="0.2">
      <c r="D2" t="s">
        <v>567</v>
      </c>
      <c r="L2" t="s">
        <v>138</v>
      </c>
    </row>
    <row r="3" spans="1:12" s="1" customFormat="1" x14ac:dyDescent="0.2">
      <c r="B3" s="1" t="s">
        <v>131</v>
      </c>
      <c r="C3" s="1" t="s">
        <v>132</v>
      </c>
      <c r="D3" s="1" t="s">
        <v>133</v>
      </c>
      <c r="E3" s="1" t="s">
        <v>134</v>
      </c>
      <c r="F3" s="1" t="s">
        <v>135</v>
      </c>
      <c r="G3" s="1" t="s">
        <v>569</v>
      </c>
      <c r="H3" s="1" t="s">
        <v>564</v>
      </c>
      <c r="L3" t="s">
        <v>139</v>
      </c>
    </row>
    <row r="4" spans="1:12" x14ac:dyDescent="0.2">
      <c r="B4" t="s">
        <v>24</v>
      </c>
      <c r="C4">
        <v>5.9736399999999996</v>
      </c>
      <c r="D4">
        <v>353565</v>
      </c>
      <c r="E4">
        <v>250035</v>
      </c>
      <c r="F4">
        <v>557760</v>
      </c>
      <c r="G4">
        <v>20</v>
      </c>
      <c r="H4" t="s">
        <v>565</v>
      </c>
    </row>
    <row r="5" spans="1:12" x14ac:dyDescent="0.2">
      <c r="B5" t="s">
        <v>25</v>
      </c>
      <c r="C5">
        <v>6.0645899999999999</v>
      </c>
      <c r="D5">
        <v>345841</v>
      </c>
      <c r="E5">
        <v>242148</v>
      </c>
      <c r="F5">
        <v>560160</v>
      </c>
      <c r="G5">
        <v>15</v>
      </c>
      <c r="H5" t="s">
        <v>565</v>
      </c>
    </row>
    <row r="6" spans="1:12" x14ac:dyDescent="0.2">
      <c r="B6" t="s">
        <v>26</v>
      </c>
      <c r="C6">
        <v>6.0457700000000001</v>
      </c>
      <c r="D6">
        <v>351650</v>
      </c>
      <c r="E6">
        <v>238053</v>
      </c>
      <c r="F6">
        <v>559680</v>
      </c>
      <c r="G6">
        <v>34</v>
      </c>
      <c r="H6" t="s">
        <v>565</v>
      </c>
    </row>
    <row r="7" spans="1:12" x14ac:dyDescent="0.2">
      <c r="B7" t="s">
        <v>27</v>
      </c>
      <c r="C7">
        <v>5.8922600000000003</v>
      </c>
      <c r="D7">
        <v>351877</v>
      </c>
      <c r="E7">
        <v>244852</v>
      </c>
      <c r="F7">
        <v>563040</v>
      </c>
      <c r="G7">
        <v>16</v>
      </c>
      <c r="H7" t="s">
        <v>565</v>
      </c>
    </row>
    <row r="8" spans="1:12" x14ac:dyDescent="0.2">
      <c r="B8" t="s">
        <v>28</v>
      </c>
      <c r="C8">
        <v>0.16969200000000001</v>
      </c>
      <c r="D8">
        <v>357958</v>
      </c>
      <c r="E8">
        <v>233067</v>
      </c>
      <c r="F8">
        <v>566700</v>
      </c>
      <c r="G8">
        <v>33</v>
      </c>
      <c r="H8" t="s">
        <v>565</v>
      </c>
    </row>
    <row r="9" spans="1:12" x14ac:dyDescent="0.2">
      <c r="B9" t="s">
        <v>29</v>
      </c>
      <c r="C9">
        <v>0.48839100000000002</v>
      </c>
      <c r="D9">
        <v>359313</v>
      </c>
      <c r="E9">
        <v>226791</v>
      </c>
      <c r="F9">
        <v>562200</v>
      </c>
      <c r="G9">
        <v>23</v>
      </c>
      <c r="H9" t="s">
        <v>565</v>
      </c>
    </row>
    <row r="10" spans="1:12" x14ac:dyDescent="0.2">
      <c r="B10" t="s">
        <v>30</v>
      </c>
      <c r="C10">
        <v>0.78980700000000004</v>
      </c>
      <c r="D10">
        <v>358706</v>
      </c>
      <c r="E10">
        <v>247466</v>
      </c>
      <c r="F10">
        <v>566700</v>
      </c>
      <c r="G10">
        <v>19</v>
      </c>
      <c r="H10" t="s">
        <v>565</v>
      </c>
    </row>
    <row r="11" spans="1:12" x14ac:dyDescent="0.2">
      <c r="B11" t="s">
        <v>31</v>
      </c>
      <c r="C11">
        <v>1.33985</v>
      </c>
      <c r="D11">
        <v>348899</v>
      </c>
      <c r="E11">
        <v>240466</v>
      </c>
      <c r="F11">
        <v>566460</v>
      </c>
      <c r="G11">
        <v>18</v>
      </c>
      <c r="H11" t="s">
        <v>565</v>
      </c>
    </row>
    <row r="12" spans="1:12" x14ac:dyDescent="0.2">
      <c r="B12" t="s">
        <v>32</v>
      </c>
      <c r="C12">
        <v>6.0100199999999999</v>
      </c>
      <c r="D12">
        <v>351211</v>
      </c>
      <c r="E12">
        <v>253341</v>
      </c>
      <c r="F12">
        <v>563400</v>
      </c>
      <c r="G12">
        <v>19</v>
      </c>
      <c r="H12" t="s">
        <v>565</v>
      </c>
    </row>
    <row r="13" spans="1:12" x14ac:dyDescent="0.2">
      <c r="B13" t="s">
        <v>33</v>
      </c>
      <c r="C13">
        <v>1.1767300000000001</v>
      </c>
      <c r="D13">
        <v>367725</v>
      </c>
      <c r="E13">
        <v>229679</v>
      </c>
      <c r="F13">
        <v>570660</v>
      </c>
      <c r="G13">
        <v>17</v>
      </c>
      <c r="H13" t="s">
        <v>565</v>
      </c>
    </row>
    <row r="14" spans="1:12" x14ac:dyDescent="0.2">
      <c r="B14" t="s">
        <v>34</v>
      </c>
      <c r="C14">
        <v>4.1649599999999998</v>
      </c>
      <c r="D14">
        <v>352900</v>
      </c>
      <c r="E14">
        <v>239257</v>
      </c>
      <c r="F14">
        <v>569340</v>
      </c>
      <c r="G14">
        <v>22</v>
      </c>
      <c r="H14" t="s">
        <v>565</v>
      </c>
    </row>
    <row r="15" spans="1:12" x14ac:dyDescent="0.2">
      <c r="B15" t="s">
        <v>35</v>
      </c>
      <c r="C15">
        <v>1.57996</v>
      </c>
      <c r="D15">
        <v>367957</v>
      </c>
      <c r="E15">
        <v>225216</v>
      </c>
      <c r="F15">
        <v>573420</v>
      </c>
      <c r="G15">
        <v>20</v>
      </c>
      <c r="H15" t="s">
        <v>565</v>
      </c>
    </row>
    <row r="16" spans="1:12" x14ac:dyDescent="0.2">
      <c r="B16" t="s">
        <v>36</v>
      </c>
      <c r="C16">
        <v>0.22187799999999999</v>
      </c>
      <c r="D16">
        <v>357921</v>
      </c>
      <c r="E16">
        <v>243469</v>
      </c>
      <c r="F16">
        <v>569400</v>
      </c>
      <c r="G16">
        <v>17</v>
      </c>
      <c r="H16" t="s">
        <v>565</v>
      </c>
    </row>
    <row r="17" spans="2:8" x14ac:dyDescent="0.2">
      <c r="B17" t="s">
        <v>37</v>
      </c>
      <c r="C17">
        <v>3.05647</v>
      </c>
      <c r="D17">
        <v>350431</v>
      </c>
      <c r="E17">
        <v>233089</v>
      </c>
      <c r="F17">
        <v>570600</v>
      </c>
      <c r="G17">
        <v>16</v>
      </c>
      <c r="H17" t="s">
        <v>565</v>
      </c>
    </row>
    <row r="18" spans="2:8" x14ac:dyDescent="0.2">
      <c r="B18" t="s">
        <v>38</v>
      </c>
      <c r="C18">
        <v>0.89690999999999999</v>
      </c>
      <c r="D18">
        <v>357546</v>
      </c>
      <c r="E18">
        <v>257727</v>
      </c>
      <c r="F18">
        <v>571200</v>
      </c>
      <c r="G18">
        <v>24</v>
      </c>
      <c r="H18" t="s">
        <v>565</v>
      </c>
    </row>
    <row r="19" spans="2:8" x14ac:dyDescent="0.2">
      <c r="B19" t="s">
        <v>39</v>
      </c>
      <c r="C19">
        <v>4.1562200000000002</v>
      </c>
      <c r="D19">
        <v>342096</v>
      </c>
      <c r="E19">
        <v>224275</v>
      </c>
      <c r="F19">
        <v>565560</v>
      </c>
      <c r="G19">
        <v>15</v>
      </c>
      <c r="H19" t="s">
        <v>565</v>
      </c>
    </row>
    <row r="20" spans="2:8" x14ac:dyDescent="0.2">
      <c r="B20" t="s">
        <v>40</v>
      </c>
      <c r="C20">
        <v>1.2776799999999999</v>
      </c>
      <c r="D20">
        <v>365610</v>
      </c>
      <c r="E20">
        <v>224947</v>
      </c>
      <c r="F20">
        <v>567540</v>
      </c>
      <c r="G20">
        <v>11</v>
      </c>
      <c r="H20" t="s">
        <v>566</v>
      </c>
    </row>
    <row r="21" spans="2:8" x14ac:dyDescent="0.2">
      <c r="B21" t="s">
        <v>41</v>
      </c>
      <c r="C21">
        <v>5.9374399999999996</v>
      </c>
      <c r="D21">
        <v>341998</v>
      </c>
      <c r="E21">
        <v>236635</v>
      </c>
      <c r="F21">
        <v>567180</v>
      </c>
      <c r="G21">
        <v>8</v>
      </c>
      <c r="H21" t="s">
        <v>566</v>
      </c>
    </row>
    <row r="22" spans="2:8" x14ac:dyDescent="0.2">
      <c r="B22" t="s">
        <v>42</v>
      </c>
      <c r="C22">
        <v>6.1327299999999996</v>
      </c>
      <c r="D22">
        <v>341598</v>
      </c>
      <c r="E22">
        <v>241088</v>
      </c>
      <c r="F22">
        <v>571560</v>
      </c>
      <c r="G22">
        <v>4</v>
      </c>
      <c r="H22" t="s">
        <v>566</v>
      </c>
    </row>
    <row r="23" spans="2:8" x14ac:dyDescent="0.2">
      <c r="B23" t="s">
        <v>43</v>
      </c>
      <c r="C23">
        <v>6.1825200000000002</v>
      </c>
      <c r="D23">
        <v>336550</v>
      </c>
      <c r="E23">
        <v>248867</v>
      </c>
      <c r="F23">
        <v>574440</v>
      </c>
      <c r="G23">
        <v>1</v>
      </c>
      <c r="H23" t="s">
        <v>566</v>
      </c>
    </row>
    <row r="24" spans="2:8" x14ac:dyDescent="0.2">
      <c r="B24" t="s">
        <v>44</v>
      </c>
      <c r="C24">
        <v>0.41872399999999999</v>
      </c>
      <c r="D24">
        <v>344149</v>
      </c>
      <c r="E24">
        <v>241879</v>
      </c>
      <c r="F24">
        <v>567180</v>
      </c>
      <c r="G24">
        <v>11</v>
      </c>
      <c r="H24" t="s">
        <v>566</v>
      </c>
    </row>
    <row r="25" spans="2:8" x14ac:dyDescent="0.2">
      <c r="B25" t="s">
        <v>45</v>
      </c>
      <c r="C25">
        <v>0.60116599999999998</v>
      </c>
      <c r="D25">
        <v>347202</v>
      </c>
      <c r="E25">
        <v>245649</v>
      </c>
      <c r="F25">
        <v>570000</v>
      </c>
      <c r="G25">
        <v>8</v>
      </c>
      <c r="H25" t="s">
        <v>566</v>
      </c>
    </row>
    <row r="26" spans="2:8" x14ac:dyDescent="0.2">
      <c r="B26" t="s">
        <v>46</v>
      </c>
      <c r="C26">
        <v>0.92716200000000004</v>
      </c>
      <c r="D26">
        <v>345600</v>
      </c>
      <c r="E26">
        <v>251516</v>
      </c>
      <c r="F26">
        <v>578760</v>
      </c>
      <c r="G26">
        <v>6</v>
      </c>
      <c r="H26" t="s">
        <v>566</v>
      </c>
    </row>
    <row r="27" spans="2:8" x14ac:dyDescent="0.2">
      <c r="B27" t="s">
        <v>47</v>
      </c>
      <c r="C27">
        <v>1.01936</v>
      </c>
      <c r="D27">
        <v>351110</v>
      </c>
      <c r="E27">
        <v>241305</v>
      </c>
      <c r="F27">
        <v>576600</v>
      </c>
      <c r="G27">
        <v>7</v>
      </c>
      <c r="H27" t="s">
        <v>566</v>
      </c>
    </row>
    <row r="28" spans="2:8" x14ac:dyDescent="0.2">
      <c r="B28" t="s">
        <v>48</v>
      </c>
      <c r="C28">
        <v>5.5639799999999999</v>
      </c>
      <c r="D28">
        <v>335249</v>
      </c>
      <c r="E28">
        <v>234814</v>
      </c>
      <c r="F28">
        <v>573480</v>
      </c>
      <c r="G28">
        <v>2</v>
      </c>
      <c r="H28" t="s">
        <v>566</v>
      </c>
    </row>
    <row r="29" spans="2:8" x14ac:dyDescent="0.2">
      <c r="B29" t="s">
        <v>49</v>
      </c>
      <c r="C29">
        <v>1.1053299999999999</v>
      </c>
      <c r="D29">
        <v>350571</v>
      </c>
      <c r="E29">
        <v>218891</v>
      </c>
      <c r="F29">
        <v>564900</v>
      </c>
      <c r="G29">
        <v>10</v>
      </c>
      <c r="H29" t="s">
        <v>566</v>
      </c>
    </row>
    <row r="30" spans="2:8" x14ac:dyDescent="0.2">
      <c r="B30" t="s">
        <v>50</v>
      </c>
      <c r="C30">
        <v>1.0819099999999999</v>
      </c>
      <c r="D30">
        <v>349257</v>
      </c>
      <c r="E30">
        <v>229870</v>
      </c>
      <c r="F30">
        <v>573960</v>
      </c>
      <c r="G30">
        <v>2</v>
      </c>
      <c r="H30" t="s">
        <v>566</v>
      </c>
    </row>
    <row r="31" spans="2:8" x14ac:dyDescent="0.2">
      <c r="B31" t="s">
        <v>51</v>
      </c>
      <c r="C31">
        <v>1.16117</v>
      </c>
      <c r="D31">
        <v>338151</v>
      </c>
      <c r="E31">
        <v>238149</v>
      </c>
      <c r="F31">
        <v>574440</v>
      </c>
      <c r="G31">
        <v>4</v>
      </c>
      <c r="H31" t="s">
        <v>566</v>
      </c>
    </row>
    <row r="32" spans="2:8" x14ac:dyDescent="0.2">
      <c r="B32" t="s">
        <v>52</v>
      </c>
      <c r="C32">
        <v>5.8376700000000001</v>
      </c>
      <c r="D32">
        <v>345303</v>
      </c>
      <c r="E32">
        <v>250731</v>
      </c>
      <c r="F32">
        <v>569580</v>
      </c>
      <c r="G32">
        <v>6</v>
      </c>
      <c r="H32" t="s">
        <v>566</v>
      </c>
    </row>
    <row r="33" spans="2:10" x14ac:dyDescent="0.2">
      <c r="B33" t="s">
        <v>53</v>
      </c>
      <c r="C33">
        <v>4.1259699999999997</v>
      </c>
      <c r="D33">
        <v>365888</v>
      </c>
      <c r="E33">
        <v>225891</v>
      </c>
      <c r="F33">
        <v>581700</v>
      </c>
      <c r="G33">
        <v>5</v>
      </c>
      <c r="H33" t="s">
        <v>566</v>
      </c>
    </row>
    <row r="34" spans="2:10" x14ac:dyDescent="0.2">
      <c r="B34" t="s">
        <v>54</v>
      </c>
      <c r="C34">
        <v>1.5081599999999999</v>
      </c>
      <c r="D34">
        <v>355346</v>
      </c>
      <c r="E34">
        <v>225323</v>
      </c>
      <c r="F34">
        <v>569760</v>
      </c>
      <c r="G34">
        <v>7</v>
      </c>
      <c r="H34" t="s">
        <v>566</v>
      </c>
    </row>
    <row r="35" spans="2:10" x14ac:dyDescent="0.2">
      <c r="B35" t="s">
        <v>55</v>
      </c>
      <c r="C35">
        <v>4.1880699999999997</v>
      </c>
      <c r="D35">
        <v>345289</v>
      </c>
      <c r="E35">
        <v>238705</v>
      </c>
      <c r="F35">
        <v>579180</v>
      </c>
      <c r="G35">
        <v>2</v>
      </c>
      <c r="H35" t="s">
        <v>566</v>
      </c>
    </row>
    <row r="36" spans="2:10" x14ac:dyDescent="0.2">
      <c r="B36" t="s">
        <v>56</v>
      </c>
      <c r="C36">
        <v>1.6892</v>
      </c>
      <c r="D36">
        <v>347122</v>
      </c>
      <c r="E36">
        <v>239586</v>
      </c>
      <c r="F36">
        <v>572160</v>
      </c>
      <c r="G36">
        <v>8</v>
      </c>
      <c r="H36" t="s">
        <v>566</v>
      </c>
    </row>
    <row r="37" spans="2:10" x14ac:dyDescent="0.2">
      <c r="B37" t="s">
        <v>57</v>
      </c>
      <c r="C37">
        <v>4.3687399999999998</v>
      </c>
      <c r="D37">
        <v>346950</v>
      </c>
      <c r="E37">
        <v>244436</v>
      </c>
      <c r="F37">
        <v>580680</v>
      </c>
      <c r="G37">
        <v>5</v>
      </c>
      <c r="H37" t="s">
        <v>566</v>
      </c>
    </row>
    <row r="38" spans="2:10" x14ac:dyDescent="0.2">
      <c r="B38" t="s">
        <v>58</v>
      </c>
      <c r="C38">
        <v>0.65934300000000001</v>
      </c>
      <c r="D38">
        <v>350361</v>
      </c>
      <c r="E38">
        <v>246353</v>
      </c>
      <c r="F38">
        <v>574380</v>
      </c>
      <c r="G38">
        <v>10</v>
      </c>
      <c r="H38" t="s">
        <v>566</v>
      </c>
    </row>
    <row r="39" spans="2:10" x14ac:dyDescent="0.2">
      <c r="B39" t="s">
        <v>59</v>
      </c>
      <c r="C39">
        <v>5.2786099999999996</v>
      </c>
      <c r="D39">
        <v>341621</v>
      </c>
      <c r="E39">
        <v>228748</v>
      </c>
      <c r="F39">
        <v>557460</v>
      </c>
      <c r="G39">
        <v>5</v>
      </c>
      <c r="H39" t="s">
        <v>566</v>
      </c>
      <c r="J39" t="s">
        <v>129</v>
      </c>
    </row>
    <row r="40" spans="2:10" x14ac:dyDescent="0.2">
      <c r="B40" t="s">
        <v>60</v>
      </c>
      <c r="C40">
        <v>5.3801399999999999</v>
      </c>
      <c r="D40">
        <v>341120</v>
      </c>
      <c r="E40">
        <v>235250</v>
      </c>
      <c r="F40">
        <v>558120</v>
      </c>
      <c r="G40">
        <v>8</v>
      </c>
      <c r="H40" t="s">
        <v>566</v>
      </c>
    </row>
    <row r="41" spans="2:10" x14ac:dyDescent="0.2">
      <c r="B41" t="s">
        <v>61</v>
      </c>
      <c r="C41">
        <v>5.3860599999999996</v>
      </c>
      <c r="D41">
        <v>333531</v>
      </c>
      <c r="E41">
        <v>240569</v>
      </c>
      <c r="F41">
        <v>554760</v>
      </c>
      <c r="G41">
        <v>8</v>
      </c>
      <c r="H41" t="s">
        <v>566</v>
      </c>
    </row>
    <row r="42" spans="2:10" x14ac:dyDescent="0.2">
      <c r="B42" t="s">
        <v>62</v>
      </c>
      <c r="C42">
        <v>5.35792</v>
      </c>
      <c r="D42">
        <v>347266</v>
      </c>
      <c r="E42">
        <v>258525</v>
      </c>
      <c r="F42">
        <v>552060</v>
      </c>
      <c r="G42">
        <v>15</v>
      </c>
      <c r="H42" t="s">
        <v>566</v>
      </c>
    </row>
    <row r="43" spans="2:10" x14ac:dyDescent="0.2">
      <c r="B43" t="s">
        <v>63</v>
      </c>
      <c r="C43">
        <v>5.4079600000000001</v>
      </c>
      <c r="D43">
        <v>343011</v>
      </c>
      <c r="E43">
        <v>229685</v>
      </c>
      <c r="F43">
        <v>552180</v>
      </c>
      <c r="G43">
        <v>9</v>
      </c>
      <c r="H43" t="s">
        <v>566</v>
      </c>
    </row>
    <row r="44" spans="2:10" x14ac:dyDescent="0.2">
      <c r="B44" t="s">
        <v>64</v>
      </c>
      <c r="C44">
        <v>5.8331600000000003</v>
      </c>
      <c r="D44">
        <v>336770</v>
      </c>
      <c r="E44">
        <v>245529</v>
      </c>
      <c r="F44">
        <v>562680</v>
      </c>
      <c r="G44">
        <v>7</v>
      </c>
      <c r="H44" t="s">
        <v>566</v>
      </c>
    </row>
    <row r="45" spans="2:10" x14ac:dyDescent="0.2">
      <c r="B45" t="s">
        <v>65</v>
      </c>
      <c r="C45">
        <v>5.5886399999999998</v>
      </c>
      <c r="D45">
        <v>340554</v>
      </c>
      <c r="E45">
        <v>248991</v>
      </c>
      <c r="F45">
        <v>578280</v>
      </c>
      <c r="G45">
        <v>3</v>
      </c>
      <c r="H45" t="s">
        <v>566</v>
      </c>
    </row>
    <row r="46" spans="2:10" x14ac:dyDescent="0.2">
      <c r="B46" t="s">
        <v>66</v>
      </c>
      <c r="C46">
        <v>5.7399899999999997</v>
      </c>
      <c r="D46">
        <v>343233</v>
      </c>
      <c r="E46">
        <v>248287</v>
      </c>
      <c r="F46">
        <v>549360</v>
      </c>
      <c r="G46">
        <v>10</v>
      </c>
      <c r="H46" t="s">
        <v>566</v>
      </c>
    </row>
    <row r="47" spans="2:10" x14ac:dyDescent="0.2">
      <c r="B47" t="s">
        <v>67</v>
      </c>
      <c r="C47">
        <v>5.7384599999999999</v>
      </c>
      <c r="D47">
        <v>348891</v>
      </c>
      <c r="E47">
        <v>242188</v>
      </c>
      <c r="F47">
        <v>554580</v>
      </c>
      <c r="G47">
        <v>7</v>
      </c>
      <c r="H47" t="s">
        <v>566</v>
      </c>
    </row>
    <row r="48" spans="2:10" x14ac:dyDescent="0.2">
      <c r="B48" t="s">
        <v>68</v>
      </c>
      <c r="C48">
        <v>5.6382099999999999</v>
      </c>
      <c r="D48">
        <v>351519</v>
      </c>
      <c r="E48">
        <v>248962</v>
      </c>
      <c r="F48">
        <v>553800</v>
      </c>
      <c r="G48">
        <v>12</v>
      </c>
      <c r="H48" t="s">
        <v>566</v>
      </c>
    </row>
    <row r="49" spans="2:8" x14ac:dyDescent="0.2">
      <c r="B49" t="s">
        <v>69</v>
      </c>
      <c r="C49">
        <v>5.9187900000000004</v>
      </c>
      <c r="D49">
        <v>346519</v>
      </c>
      <c r="E49">
        <v>237578</v>
      </c>
      <c r="F49">
        <v>555720</v>
      </c>
      <c r="G49">
        <v>11</v>
      </c>
      <c r="H49" t="s">
        <v>566</v>
      </c>
    </row>
    <row r="50" spans="2:8" x14ac:dyDescent="0.2">
      <c r="B50" t="s">
        <v>70</v>
      </c>
      <c r="C50">
        <v>5.6373300000000004</v>
      </c>
      <c r="D50">
        <v>347117</v>
      </c>
      <c r="E50">
        <v>232038</v>
      </c>
      <c r="F50">
        <v>555960</v>
      </c>
      <c r="G50">
        <v>12</v>
      </c>
      <c r="H50" t="s">
        <v>566</v>
      </c>
    </row>
    <row r="51" spans="2:8" x14ac:dyDescent="0.2">
      <c r="B51" t="s">
        <v>71</v>
      </c>
      <c r="C51">
        <v>5.4480199999999996</v>
      </c>
      <c r="D51">
        <v>335976</v>
      </c>
      <c r="E51">
        <v>233114</v>
      </c>
      <c r="F51">
        <v>563580</v>
      </c>
      <c r="G51">
        <v>5</v>
      </c>
      <c r="H51" t="s">
        <v>566</v>
      </c>
    </row>
    <row r="52" spans="2:8" x14ac:dyDescent="0.2">
      <c r="B52" t="s">
        <v>72</v>
      </c>
      <c r="C52">
        <v>5.5743299999999998</v>
      </c>
      <c r="D52">
        <v>337802</v>
      </c>
      <c r="E52">
        <v>231248</v>
      </c>
      <c r="F52">
        <v>558240</v>
      </c>
      <c r="G52">
        <v>5</v>
      </c>
      <c r="H52" t="s">
        <v>566</v>
      </c>
    </row>
    <row r="53" spans="2:8" x14ac:dyDescent="0.2">
      <c r="B53" t="s">
        <v>73</v>
      </c>
      <c r="C53">
        <v>5.6768400000000003</v>
      </c>
      <c r="D53">
        <v>355675</v>
      </c>
      <c r="E53">
        <v>249521</v>
      </c>
      <c r="F53">
        <v>564180</v>
      </c>
      <c r="G53">
        <v>12</v>
      </c>
      <c r="H53" t="s">
        <v>566</v>
      </c>
    </row>
    <row r="54" spans="2:8" x14ac:dyDescent="0.2">
      <c r="B54" t="s">
        <v>74</v>
      </c>
      <c r="C54">
        <v>5.5986799999999999</v>
      </c>
      <c r="D54">
        <v>336836</v>
      </c>
      <c r="E54">
        <v>247128</v>
      </c>
      <c r="F54">
        <v>569520</v>
      </c>
      <c r="G54">
        <v>2</v>
      </c>
      <c r="H54" t="s">
        <v>566</v>
      </c>
    </row>
    <row r="55" spans="2:8" x14ac:dyDescent="0.2">
      <c r="B55" t="s">
        <v>75</v>
      </c>
      <c r="C55">
        <v>2.70017</v>
      </c>
      <c r="D55">
        <v>346467</v>
      </c>
      <c r="E55">
        <v>228002</v>
      </c>
      <c r="F55">
        <v>570900</v>
      </c>
      <c r="G55">
        <v>15</v>
      </c>
      <c r="H55" t="s">
        <v>566</v>
      </c>
    </row>
    <row r="56" spans="2:8" x14ac:dyDescent="0.2">
      <c r="B56" t="s">
        <v>76</v>
      </c>
      <c r="C56">
        <v>5.8273999999999999</v>
      </c>
      <c r="D56">
        <v>354556</v>
      </c>
      <c r="E56">
        <v>231497</v>
      </c>
      <c r="F56">
        <v>559020</v>
      </c>
      <c r="G56">
        <v>10</v>
      </c>
      <c r="H56" t="s">
        <v>566</v>
      </c>
    </row>
    <row r="57" spans="2:8" x14ac:dyDescent="0.2">
      <c r="B57" t="s">
        <v>77</v>
      </c>
      <c r="C57">
        <v>5.4227800000000004</v>
      </c>
      <c r="D57">
        <v>341717</v>
      </c>
      <c r="E57">
        <v>224690</v>
      </c>
      <c r="F57">
        <v>552300</v>
      </c>
      <c r="G57">
        <v>6</v>
      </c>
      <c r="H57" t="s">
        <v>566</v>
      </c>
    </row>
    <row r="58" spans="2:8" x14ac:dyDescent="0.2">
      <c r="B58" t="s">
        <v>78</v>
      </c>
      <c r="C58">
        <v>5.6198499999999996</v>
      </c>
      <c r="D58">
        <v>351426</v>
      </c>
      <c r="E58">
        <v>252045</v>
      </c>
      <c r="F58">
        <v>569460</v>
      </c>
      <c r="G58">
        <v>7</v>
      </c>
      <c r="H58" t="s">
        <v>566</v>
      </c>
    </row>
    <row r="59" spans="2:8" x14ac:dyDescent="0.2">
      <c r="B59" t="s">
        <v>79</v>
      </c>
      <c r="C59">
        <v>5.6457100000000002</v>
      </c>
      <c r="D59">
        <v>349319</v>
      </c>
      <c r="E59">
        <v>226280</v>
      </c>
      <c r="F59">
        <v>558900</v>
      </c>
      <c r="G59">
        <v>8</v>
      </c>
      <c r="H59" t="s">
        <v>566</v>
      </c>
    </row>
    <row r="60" spans="2:8" x14ac:dyDescent="0.2">
      <c r="B60" t="s">
        <v>80</v>
      </c>
      <c r="C60">
        <v>4.8455199999999997E-2</v>
      </c>
      <c r="D60">
        <v>349329</v>
      </c>
      <c r="E60">
        <v>247473</v>
      </c>
      <c r="F60">
        <v>567720</v>
      </c>
      <c r="G60">
        <v>9</v>
      </c>
      <c r="H60" t="s">
        <v>566</v>
      </c>
    </row>
    <row r="61" spans="2:8" x14ac:dyDescent="0.2">
      <c r="B61" t="s">
        <v>81</v>
      </c>
      <c r="C61">
        <v>6.0260100000000003</v>
      </c>
      <c r="D61">
        <v>341598</v>
      </c>
      <c r="E61">
        <v>248992</v>
      </c>
      <c r="F61">
        <v>572940</v>
      </c>
      <c r="G61">
        <v>11</v>
      </c>
      <c r="H61" t="s">
        <v>566</v>
      </c>
    </row>
    <row r="62" spans="2:8" x14ac:dyDescent="0.2">
      <c r="B62" t="s">
        <v>82</v>
      </c>
      <c r="C62">
        <v>6.0291100000000002</v>
      </c>
      <c r="D62">
        <v>342530</v>
      </c>
      <c r="E62">
        <v>231211</v>
      </c>
      <c r="F62">
        <v>566460</v>
      </c>
      <c r="G62">
        <v>7</v>
      </c>
      <c r="H62" t="s">
        <v>566</v>
      </c>
    </row>
    <row r="63" spans="2:8" x14ac:dyDescent="0.2">
      <c r="B63" t="s">
        <v>83</v>
      </c>
      <c r="C63">
        <v>0.31664799999999999</v>
      </c>
      <c r="D63">
        <v>345089</v>
      </c>
      <c r="E63">
        <v>246115</v>
      </c>
      <c r="F63">
        <v>564720</v>
      </c>
      <c r="G63">
        <v>7</v>
      </c>
      <c r="H63" t="s">
        <v>566</v>
      </c>
    </row>
    <row r="64" spans="2:8" x14ac:dyDescent="0.2">
      <c r="B64" t="s">
        <v>84</v>
      </c>
      <c r="C64">
        <v>0.21118400000000001</v>
      </c>
      <c r="D64">
        <v>344368</v>
      </c>
      <c r="E64">
        <v>247501</v>
      </c>
      <c r="F64">
        <v>579000</v>
      </c>
      <c r="G64">
        <v>4</v>
      </c>
      <c r="H64" t="s">
        <v>566</v>
      </c>
    </row>
    <row r="65" spans="2:8" x14ac:dyDescent="0.2">
      <c r="B65" t="s">
        <v>85</v>
      </c>
      <c r="C65">
        <v>5.8948600000000004</v>
      </c>
      <c r="D65">
        <v>340893</v>
      </c>
      <c r="E65">
        <v>249144</v>
      </c>
      <c r="F65">
        <v>565260</v>
      </c>
      <c r="G65">
        <v>7</v>
      </c>
      <c r="H65" t="s">
        <v>566</v>
      </c>
    </row>
    <row r="66" spans="2:8" x14ac:dyDescent="0.2">
      <c r="B66" t="s">
        <v>86</v>
      </c>
      <c r="C66">
        <v>6.19238</v>
      </c>
      <c r="D66">
        <v>354698</v>
      </c>
      <c r="E66">
        <v>254291</v>
      </c>
      <c r="F66">
        <v>567360</v>
      </c>
      <c r="G66">
        <v>10</v>
      </c>
      <c r="H66" t="s">
        <v>566</v>
      </c>
    </row>
    <row r="67" spans="2:8" x14ac:dyDescent="0.2">
      <c r="B67" t="s">
        <v>87</v>
      </c>
      <c r="C67">
        <v>0.143234</v>
      </c>
      <c r="D67">
        <v>347407</v>
      </c>
      <c r="E67">
        <v>232670</v>
      </c>
      <c r="F67">
        <v>563460</v>
      </c>
      <c r="G67">
        <v>7</v>
      </c>
      <c r="H67" t="s">
        <v>566</v>
      </c>
    </row>
    <row r="68" spans="2:8" x14ac:dyDescent="0.2">
      <c r="B68" t="s">
        <v>88</v>
      </c>
      <c r="C68">
        <v>0.21598999999999999</v>
      </c>
      <c r="D68">
        <v>356531</v>
      </c>
      <c r="E68">
        <v>259620</v>
      </c>
      <c r="F68">
        <v>565320</v>
      </c>
      <c r="G68">
        <v>9</v>
      </c>
      <c r="H68" t="s">
        <v>566</v>
      </c>
    </row>
    <row r="69" spans="2:8" x14ac:dyDescent="0.2">
      <c r="B69" t="s">
        <v>89</v>
      </c>
      <c r="C69">
        <v>0.28175</v>
      </c>
      <c r="D69">
        <v>356998</v>
      </c>
      <c r="E69">
        <v>240564</v>
      </c>
      <c r="F69">
        <v>563340</v>
      </c>
      <c r="G69">
        <v>14</v>
      </c>
      <c r="H69" t="s">
        <v>566</v>
      </c>
    </row>
    <row r="70" spans="2:8" x14ac:dyDescent="0.2">
      <c r="B70" t="s">
        <v>90</v>
      </c>
      <c r="C70">
        <v>0.46694999999999998</v>
      </c>
      <c r="D70">
        <v>346058</v>
      </c>
      <c r="E70">
        <v>236971</v>
      </c>
      <c r="F70">
        <v>564840</v>
      </c>
      <c r="G70">
        <v>7</v>
      </c>
      <c r="H70" t="s">
        <v>566</v>
      </c>
    </row>
    <row r="71" spans="2:8" x14ac:dyDescent="0.2">
      <c r="B71" t="s">
        <v>91</v>
      </c>
      <c r="C71">
        <v>0.53684200000000004</v>
      </c>
      <c r="D71">
        <v>355440</v>
      </c>
      <c r="E71">
        <v>224930</v>
      </c>
      <c r="F71">
        <v>559320</v>
      </c>
      <c r="G71">
        <v>10</v>
      </c>
      <c r="H71" t="s">
        <v>566</v>
      </c>
    </row>
    <row r="72" spans="2:8" x14ac:dyDescent="0.2">
      <c r="B72" t="s">
        <v>92</v>
      </c>
      <c r="C72">
        <v>0.45649800000000001</v>
      </c>
      <c r="D72">
        <v>341686</v>
      </c>
      <c r="E72">
        <v>235874</v>
      </c>
      <c r="F72">
        <v>573780</v>
      </c>
      <c r="G72">
        <v>1</v>
      </c>
      <c r="H72" t="s">
        <v>566</v>
      </c>
    </row>
    <row r="73" spans="2:8" x14ac:dyDescent="0.2">
      <c r="B73" t="s">
        <v>93</v>
      </c>
      <c r="C73">
        <v>0.66738399999999998</v>
      </c>
      <c r="D73">
        <v>360606</v>
      </c>
      <c r="E73">
        <v>222922</v>
      </c>
      <c r="F73">
        <v>560340</v>
      </c>
      <c r="G73">
        <v>11</v>
      </c>
      <c r="H73" t="s">
        <v>566</v>
      </c>
    </row>
    <row r="74" spans="2:8" x14ac:dyDescent="0.2">
      <c r="B74" t="s">
        <v>94</v>
      </c>
      <c r="C74">
        <v>0.30608999999999997</v>
      </c>
      <c r="D74">
        <v>355116</v>
      </c>
      <c r="E74">
        <v>234943</v>
      </c>
      <c r="F74">
        <v>562860</v>
      </c>
      <c r="G74">
        <v>6</v>
      </c>
      <c r="H74" t="s">
        <v>566</v>
      </c>
    </row>
    <row r="75" spans="2:8" x14ac:dyDescent="0.2">
      <c r="B75" t="s">
        <v>95</v>
      </c>
      <c r="C75">
        <v>0.72637200000000002</v>
      </c>
      <c r="D75">
        <v>343956</v>
      </c>
      <c r="E75">
        <v>226375</v>
      </c>
      <c r="F75">
        <v>560760</v>
      </c>
      <c r="G75">
        <v>7</v>
      </c>
      <c r="H75" t="s">
        <v>566</v>
      </c>
    </row>
    <row r="76" spans="2:8" x14ac:dyDescent="0.2">
      <c r="B76" t="s">
        <v>96</v>
      </c>
      <c r="C76">
        <v>0.76888699999999999</v>
      </c>
      <c r="D76">
        <v>341272</v>
      </c>
      <c r="E76">
        <v>244057</v>
      </c>
      <c r="F76">
        <v>578940</v>
      </c>
      <c r="G76">
        <v>3</v>
      </c>
      <c r="H76" t="s">
        <v>566</v>
      </c>
    </row>
    <row r="77" spans="2:8" x14ac:dyDescent="0.2">
      <c r="B77" t="s">
        <v>97</v>
      </c>
      <c r="C77">
        <v>1.0479799999999999</v>
      </c>
      <c r="D77">
        <v>337602</v>
      </c>
      <c r="E77">
        <v>228694</v>
      </c>
      <c r="F77">
        <v>573180</v>
      </c>
      <c r="G77">
        <v>8</v>
      </c>
      <c r="H77" t="s">
        <v>566</v>
      </c>
    </row>
    <row r="78" spans="2:8" x14ac:dyDescent="0.2">
      <c r="B78" t="s">
        <v>98</v>
      </c>
      <c r="C78">
        <v>0.41247299999999998</v>
      </c>
      <c r="D78">
        <v>338882</v>
      </c>
      <c r="E78">
        <v>228672</v>
      </c>
      <c r="F78">
        <v>564180</v>
      </c>
      <c r="G78">
        <v>5</v>
      </c>
      <c r="H78" t="s">
        <v>566</v>
      </c>
    </row>
    <row r="79" spans="2:8" x14ac:dyDescent="0.2">
      <c r="B79" t="s">
        <v>99</v>
      </c>
      <c r="C79">
        <v>1.0708500000000001</v>
      </c>
      <c r="D79">
        <v>362435</v>
      </c>
      <c r="E79">
        <v>218999</v>
      </c>
      <c r="F79">
        <v>559980</v>
      </c>
      <c r="G79">
        <v>7</v>
      </c>
      <c r="H79" t="s">
        <v>566</v>
      </c>
    </row>
    <row r="80" spans="2:8" x14ac:dyDescent="0.2">
      <c r="B80" t="s">
        <v>100</v>
      </c>
      <c r="C80">
        <v>0.83330800000000005</v>
      </c>
      <c r="D80">
        <v>349915</v>
      </c>
      <c r="E80">
        <v>220077</v>
      </c>
      <c r="F80">
        <v>569520</v>
      </c>
      <c r="G80">
        <v>9</v>
      </c>
      <c r="H80" t="s">
        <v>566</v>
      </c>
    </row>
    <row r="81" spans="2:8" x14ac:dyDescent="0.2">
      <c r="B81" t="s">
        <v>101</v>
      </c>
      <c r="C81">
        <v>0.882938</v>
      </c>
      <c r="D81">
        <v>344438</v>
      </c>
      <c r="E81">
        <v>244631</v>
      </c>
      <c r="F81">
        <v>574500</v>
      </c>
      <c r="G81">
        <v>10</v>
      </c>
      <c r="H81" t="s">
        <v>566</v>
      </c>
    </row>
    <row r="82" spans="2:8" x14ac:dyDescent="0.2">
      <c r="B82" t="s">
        <v>102</v>
      </c>
      <c r="C82">
        <v>0.525115</v>
      </c>
      <c r="D82">
        <v>346535</v>
      </c>
      <c r="E82">
        <v>250435</v>
      </c>
      <c r="F82">
        <v>583200</v>
      </c>
      <c r="G82">
        <v>4</v>
      </c>
      <c r="H82" t="s">
        <v>566</v>
      </c>
    </row>
    <row r="83" spans="2:8" x14ac:dyDescent="0.2">
      <c r="B83" t="s">
        <v>103</v>
      </c>
      <c r="C83">
        <v>0.82867000000000002</v>
      </c>
      <c r="D83">
        <v>356182</v>
      </c>
      <c r="E83">
        <v>253315</v>
      </c>
      <c r="F83">
        <v>577080</v>
      </c>
      <c r="G83">
        <v>8</v>
      </c>
      <c r="H83" t="s">
        <v>566</v>
      </c>
    </row>
    <row r="84" spans="2:8" x14ac:dyDescent="0.2">
      <c r="B84" t="s">
        <v>104</v>
      </c>
      <c r="C84">
        <v>1.15567</v>
      </c>
      <c r="D84">
        <v>356379</v>
      </c>
      <c r="E84">
        <v>248161</v>
      </c>
      <c r="F84">
        <v>576120</v>
      </c>
      <c r="G84">
        <v>6</v>
      </c>
      <c r="H84" t="s">
        <v>566</v>
      </c>
    </row>
    <row r="85" spans="2:8" x14ac:dyDescent="0.2">
      <c r="B85" t="s">
        <v>105</v>
      </c>
      <c r="C85">
        <v>1.03562</v>
      </c>
      <c r="D85">
        <v>355302</v>
      </c>
      <c r="E85">
        <v>237462</v>
      </c>
      <c r="F85">
        <v>575760</v>
      </c>
      <c r="G85">
        <v>8</v>
      </c>
      <c r="H85" t="s">
        <v>566</v>
      </c>
    </row>
    <row r="86" spans="2:8" x14ac:dyDescent="0.2">
      <c r="B86" t="s">
        <v>106</v>
      </c>
      <c r="C86">
        <v>1.16978</v>
      </c>
      <c r="D86">
        <v>363149</v>
      </c>
      <c r="E86">
        <v>223001</v>
      </c>
      <c r="F86">
        <v>564540</v>
      </c>
      <c r="G86">
        <v>6</v>
      </c>
      <c r="H86" t="s">
        <v>566</v>
      </c>
    </row>
    <row r="87" spans="2:8" x14ac:dyDescent="0.2">
      <c r="B87" t="s">
        <v>107</v>
      </c>
      <c r="C87">
        <v>0.84552799999999995</v>
      </c>
      <c r="D87">
        <v>342650</v>
      </c>
      <c r="E87">
        <v>230007</v>
      </c>
      <c r="F87">
        <v>573480</v>
      </c>
      <c r="G87">
        <v>2</v>
      </c>
      <c r="H87" t="s">
        <v>566</v>
      </c>
    </row>
    <row r="88" spans="2:8" x14ac:dyDescent="0.2">
      <c r="B88" t="s">
        <v>108</v>
      </c>
      <c r="C88">
        <v>1.2179899999999999</v>
      </c>
      <c r="D88">
        <v>339953</v>
      </c>
      <c r="E88">
        <v>227800</v>
      </c>
      <c r="F88">
        <v>569940</v>
      </c>
      <c r="G88">
        <v>6</v>
      </c>
      <c r="H88" t="s">
        <v>566</v>
      </c>
    </row>
    <row r="89" spans="2:8" x14ac:dyDescent="0.2">
      <c r="B89" t="s">
        <v>109</v>
      </c>
      <c r="C89">
        <v>1.35422</v>
      </c>
      <c r="D89">
        <v>350086</v>
      </c>
      <c r="E89">
        <v>235432</v>
      </c>
      <c r="F89">
        <v>574800</v>
      </c>
      <c r="G89">
        <v>4</v>
      </c>
      <c r="H89" t="s">
        <v>566</v>
      </c>
    </row>
    <row r="90" spans="2:8" x14ac:dyDescent="0.2">
      <c r="B90" t="s">
        <v>110</v>
      </c>
      <c r="C90">
        <v>0.783362</v>
      </c>
      <c r="D90">
        <v>345158</v>
      </c>
      <c r="E90">
        <v>250120</v>
      </c>
      <c r="F90">
        <v>574980</v>
      </c>
      <c r="G90">
        <v>6</v>
      </c>
      <c r="H90" t="s">
        <v>566</v>
      </c>
    </row>
    <row r="91" spans="2:8" x14ac:dyDescent="0.2">
      <c r="B91" t="s">
        <v>111</v>
      </c>
      <c r="C91">
        <v>4.3668899999999997</v>
      </c>
      <c r="D91">
        <v>346159</v>
      </c>
      <c r="E91">
        <v>228471</v>
      </c>
      <c r="F91">
        <v>577080</v>
      </c>
      <c r="G91">
        <v>2</v>
      </c>
      <c r="H91" t="s">
        <v>566</v>
      </c>
    </row>
    <row r="92" spans="2:8" x14ac:dyDescent="0.2">
      <c r="B92" t="s">
        <v>112</v>
      </c>
      <c r="C92">
        <v>4.3668899999999997</v>
      </c>
      <c r="D92">
        <v>343328</v>
      </c>
      <c r="E92">
        <v>233418</v>
      </c>
      <c r="F92">
        <v>577860</v>
      </c>
      <c r="G92">
        <v>6</v>
      </c>
      <c r="H92" t="s">
        <v>566</v>
      </c>
    </row>
    <row r="93" spans="2:8" x14ac:dyDescent="0.2">
      <c r="B93" t="s">
        <v>113</v>
      </c>
      <c r="C93">
        <v>2.6670099999999999</v>
      </c>
      <c r="D93">
        <v>340465</v>
      </c>
      <c r="E93">
        <v>232761</v>
      </c>
      <c r="F93">
        <v>571200</v>
      </c>
      <c r="G93">
        <v>6</v>
      </c>
      <c r="H93" t="s">
        <v>566</v>
      </c>
    </row>
    <row r="94" spans="2:8" x14ac:dyDescent="0.2">
      <c r="B94" t="s">
        <v>114</v>
      </c>
      <c r="C94">
        <v>5.5743299999999998</v>
      </c>
      <c r="D94">
        <v>339977</v>
      </c>
      <c r="E94">
        <v>235075</v>
      </c>
      <c r="F94">
        <v>561480</v>
      </c>
      <c r="G94">
        <v>5</v>
      </c>
      <c r="H94" t="s">
        <v>566</v>
      </c>
    </row>
    <row r="95" spans="2:8" x14ac:dyDescent="0.2">
      <c r="B95" t="s">
        <v>115</v>
      </c>
      <c r="C95">
        <v>5.9301599999999999</v>
      </c>
      <c r="D95">
        <v>334429</v>
      </c>
      <c r="E95">
        <v>231523</v>
      </c>
      <c r="F95">
        <v>560040</v>
      </c>
      <c r="G95">
        <v>2</v>
      </c>
      <c r="H95" t="s">
        <v>566</v>
      </c>
    </row>
    <row r="96" spans="2:8" x14ac:dyDescent="0.2">
      <c r="B96" t="s">
        <v>116</v>
      </c>
      <c r="C96">
        <v>5.8183800000000003</v>
      </c>
      <c r="D96">
        <v>349215</v>
      </c>
      <c r="E96">
        <v>229258</v>
      </c>
      <c r="F96">
        <v>562380</v>
      </c>
      <c r="G96">
        <v>6</v>
      </c>
      <c r="H96" t="s">
        <v>566</v>
      </c>
    </row>
    <row r="97" spans="2:10" x14ac:dyDescent="0.2">
      <c r="B97" t="s">
        <v>117</v>
      </c>
      <c r="C97">
        <v>1.4137999999999999</v>
      </c>
      <c r="D97">
        <v>351936</v>
      </c>
      <c r="E97">
        <v>248274</v>
      </c>
      <c r="F97">
        <v>584280</v>
      </c>
      <c r="G97">
        <v>6</v>
      </c>
      <c r="H97" t="s">
        <v>566</v>
      </c>
    </row>
    <row r="98" spans="2:10" x14ac:dyDescent="0.2">
      <c r="B98" t="s">
        <v>118</v>
      </c>
      <c r="C98">
        <v>1.4862299999999999</v>
      </c>
      <c r="D98">
        <v>341412</v>
      </c>
      <c r="E98">
        <v>224858</v>
      </c>
      <c r="F98">
        <v>572280</v>
      </c>
      <c r="G98">
        <v>3</v>
      </c>
      <c r="H98" t="s">
        <v>566</v>
      </c>
    </row>
    <row r="99" spans="2:10" x14ac:dyDescent="0.2">
      <c r="B99" t="s">
        <v>119</v>
      </c>
      <c r="C99">
        <v>4.2944100000000001</v>
      </c>
      <c r="D99">
        <v>350983</v>
      </c>
      <c r="E99">
        <v>251852</v>
      </c>
      <c r="F99">
        <v>579720</v>
      </c>
      <c r="G99">
        <v>14</v>
      </c>
      <c r="H99" t="s">
        <v>566</v>
      </c>
    </row>
    <row r="100" spans="2:10" x14ac:dyDescent="0.2">
      <c r="B100" t="s">
        <v>120</v>
      </c>
      <c r="C100">
        <v>0.30397999999999997</v>
      </c>
      <c r="D100">
        <v>352904</v>
      </c>
      <c r="E100">
        <v>255803</v>
      </c>
      <c r="F100">
        <v>571500</v>
      </c>
      <c r="G100">
        <v>6</v>
      </c>
      <c r="H100" t="s">
        <v>566</v>
      </c>
    </row>
    <row r="101" spans="2:10" x14ac:dyDescent="0.2">
      <c r="B101" t="s">
        <v>121</v>
      </c>
      <c r="C101">
        <v>0.61260199999999998</v>
      </c>
      <c r="D101">
        <v>349056</v>
      </c>
      <c r="E101">
        <v>251532</v>
      </c>
      <c r="F101">
        <v>571740</v>
      </c>
      <c r="G101">
        <v>8</v>
      </c>
      <c r="H101" t="s">
        <v>566</v>
      </c>
    </row>
    <row r="102" spans="2:10" x14ac:dyDescent="0.2">
      <c r="B102" t="s">
        <v>122</v>
      </c>
      <c r="C102">
        <v>0.892903</v>
      </c>
      <c r="D102">
        <v>356112</v>
      </c>
      <c r="E102">
        <v>219520</v>
      </c>
      <c r="F102">
        <v>558840</v>
      </c>
      <c r="G102">
        <v>9</v>
      </c>
      <c r="H102" t="s">
        <v>566</v>
      </c>
    </row>
    <row r="103" spans="2:10" x14ac:dyDescent="0.2">
      <c r="B103" t="s">
        <v>123</v>
      </c>
      <c r="C103">
        <v>6.0082599999999999</v>
      </c>
      <c r="D103">
        <v>333190</v>
      </c>
      <c r="E103">
        <v>226402</v>
      </c>
      <c r="F103">
        <v>550980</v>
      </c>
      <c r="G103">
        <v>3</v>
      </c>
      <c r="H103" t="s">
        <v>566</v>
      </c>
    </row>
    <row r="104" spans="2:10" x14ac:dyDescent="0.2">
      <c r="B104" t="s">
        <v>124</v>
      </c>
      <c r="C104">
        <v>0.45649800000000001</v>
      </c>
      <c r="D104">
        <v>344713</v>
      </c>
      <c r="E104">
        <v>225277</v>
      </c>
      <c r="F104">
        <v>575100</v>
      </c>
      <c r="G104">
        <v>1</v>
      </c>
      <c r="H104" t="s">
        <v>566</v>
      </c>
    </row>
    <row r="105" spans="2:10" x14ac:dyDescent="0.2">
      <c r="B105" t="s">
        <v>125</v>
      </c>
      <c r="C105">
        <v>0.45649800000000001</v>
      </c>
      <c r="D105">
        <v>349427</v>
      </c>
      <c r="E105">
        <v>231481</v>
      </c>
      <c r="F105">
        <v>577260</v>
      </c>
      <c r="G105">
        <v>1</v>
      </c>
      <c r="H105" t="s">
        <v>566</v>
      </c>
    </row>
    <row r="106" spans="2:10" x14ac:dyDescent="0.2">
      <c r="B106" t="s">
        <v>126</v>
      </c>
      <c r="C106">
        <v>1.5249999999999999</v>
      </c>
      <c r="D106">
        <v>348798</v>
      </c>
      <c r="E106">
        <v>223605</v>
      </c>
      <c r="F106">
        <v>568140</v>
      </c>
      <c r="G106">
        <v>4</v>
      </c>
      <c r="H106" t="s">
        <v>566</v>
      </c>
    </row>
    <row r="107" spans="2:10" x14ac:dyDescent="0.2">
      <c r="B107" t="s">
        <v>127</v>
      </c>
      <c r="C107">
        <v>1.4436</v>
      </c>
      <c r="D107">
        <v>365369</v>
      </c>
      <c r="E107">
        <v>235941</v>
      </c>
      <c r="F107">
        <v>584460</v>
      </c>
      <c r="G107">
        <v>2</v>
      </c>
      <c r="H107" t="s">
        <v>566</v>
      </c>
    </row>
    <row r="108" spans="2:10" x14ac:dyDescent="0.2">
      <c r="B108" t="s">
        <v>128</v>
      </c>
      <c r="C108">
        <v>1.4204699999999999</v>
      </c>
      <c r="G108">
        <v>4</v>
      </c>
      <c r="J108" t="s">
        <v>130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B8098-BA13-6A42-B15E-F6AEC9A88185}">
  <dimension ref="A1:D13"/>
  <sheetViews>
    <sheetView workbookViewId="0">
      <selection activeCell="A2" sqref="A2"/>
    </sheetView>
  </sheetViews>
  <sheetFormatPr baseColWidth="10" defaultRowHeight="16" x14ac:dyDescent="0.2"/>
  <cols>
    <col min="1" max="1" width="11.33203125" bestFit="1" customWidth="1"/>
    <col min="2" max="2" width="20.83203125" bestFit="1" customWidth="1"/>
    <col min="3" max="3" width="18.6640625" bestFit="1" customWidth="1"/>
  </cols>
  <sheetData>
    <row r="1" spans="1:4" x14ac:dyDescent="0.2">
      <c r="A1" t="s">
        <v>141</v>
      </c>
    </row>
    <row r="4" spans="1:4" x14ac:dyDescent="0.2">
      <c r="B4" t="s">
        <v>140</v>
      </c>
      <c r="C4" t="s">
        <v>17</v>
      </c>
      <c r="D4" t="s">
        <v>18</v>
      </c>
    </row>
    <row r="5" spans="1:4" x14ac:dyDescent="0.2">
      <c r="B5">
        <v>2.5</v>
      </c>
      <c r="C5">
        <v>0.74613326377205402</v>
      </c>
      <c r="D5">
        <v>0.29136902323966002</v>
      </c>
    </row>
    <row r="6" spans="1:4" x14ac:dyDescent="0.2">
      <c r="B6">
        <v>7.5</v>
      </c>
      <c r="C6">
        <v>0.73541262015093101</v>
      </c>
      <c r="D6">
        <v>0.32350054652322202</v>
      </c>
    </row>
    <row r="7" spans="1:4" x14ac:dyDescent="0.2">
      <c r="B7">
        <v>12.5</v>
      </c>
      <c r="C7">
        <v>0.64742982340123201</v>
      </c>
      <c r="D7">
        <v>0.402995515482372</v>
      </c>
    </row>
    <row r="8" spans="1:4" x14ac:dyDescent="0.2">
      <c r="B8">
        <v>17.5</v>
      </c>
      <c r="C8">
        <v>0.57100548285619801</v>
      </c>
      <c r="D8">
        <v>0.45969621932848598</v>
      </c>
    </row>
    <row r="9" spans="1:4" x14ac:dyDescent="0.2">
      <c r="B9">
        <v>22.5</v>
      </c>
      <c r="C9">
        <v>0.52609773473421995</v>
      </c>
      <c r="D9">
        <v>0.45103467783331103</v>
      </c>
    </row>
    <row r="10" spans="1:4" x14ac:dyDescent="0.2">
      <c r="B10">
        <v>27.5</v>
      </c>
      <c r="C10">
        <v>0.48524882417391901</v>
      </c>
      <c r="D10">
        <v>0.46638406090901502</v>
      </c>
    </row>
    <row r="11" spans="1:4" x14ac:dyDescent="0.2">
      <c r="B11">
        <v>32.5</v>
      </c>
      <c r="C11">
        <v>0.41544409123794002</v>
      </c>
      <c r="D11">
        <v>0.48312146430078801</v>
      </c>
    </row>
    <row r="12" spans="1:4" x14ac:dyDescent="0.2">
      <c r="B12">
        <v>37.5</v>
      </c>
      <c r="C12">
        <v>0.45632731290453998</v>
      </c>
      <c r="D12">
        <v>0.51378774018434903</v>
      </c>
    </row>
    <row r="13" spans="1:4" x14ac:dyDescent="0.2">
      <c r="B13">
        <v>42.5</v>
      </c>
      <c r="C13">
        <v>0.34805219822102601</v>
      </c>
      <c r="D13">
        <v>0.51184000600214796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7EF81-6378-FD4C-9FEB-60AE5DE3EDD5}">
  <dimension ref="A1:F50"/>
  <sheetViews>
    <sheetView workbookViewId="0">
      <selection activeCell="A2" sqref="A2"/>
    </sheetView>
  </sheetViews>
  <sheetFormatPr baseColWidth="10" defaultRowHeight="16" x14ac:dyDescent="0.2"/>
  <cols>
    <col min="2" max="2" width="24.6640625" customWidth="1"/>
  </cols>
  <sheetData>
    <row r="1" spans="1:6" x14ac:dyDescent="0.2">
      <c r="A1" t="s">
        <v>192</v>
      </c>
    </row>
    <row r="3" spans="1:6" s="1" customFormat="1" x14ac:dyDescent="0.2">
      <c r="B3" s="1" t="s">
        <v>189</v>
      </c>
      <c r="C3" s="1" t="s">
        <v>190</v>
      </c>
    </row>
    <row r="4" spans="1:6" x14ac:dyDescent="0.2">
      <c r="B4" t="s">
        <v>142</v>
      </c>
      <c r="C4">
        <v>0.43375799999999998</v>
      </c>
      <c r="F4" t="s">
        <v>191</v>
      </c>
    </row>
    <row r="5" spans="1:6" x14ac:dyDescent="0.2">
      <c r="B5" t="s">
        <v>163</v>
      </c>
      <c r="C5">
        <v>3.7678099999999999</v>
      </c>
      <c r="F5" t="s">
        <v>138</v>
      </c>
    </row>
    <row r="6" spans="1:6" x14ac:dyDescent="0.2">
      <c r="B6" t="s">
        <v>164</v>
      </c>
      <c r="C6">
        <v>4.2503799999999998</v>
      </c>
      <c r="F6" t="s">
        <v>139</v>
      </c>
    </row>
    <row r="7" spans="1:6" x14ac:dyDescent="0.2">
      <c r="B7" t="s">
        <v>165</v>
      </c>
      <c r="C7">
        <v>3.0527700000000002</v>
      </c>
    </row>
    <row r="8" spans="1:6" x14ac:dyDescent="0.2">
      <c r="B8" t="s">
        <v>166</v>
      </c>
      <c r="C8">
        <v>4.2102599999999999</v>
      </c>
    </row>
    <row r="9" spans="1:6" x14ac:dyDescent="0.2">
      <c r="B9" t="s">
        <v>143</v>
      </c>
      <c r="C9">
        <v>0.93113800000000002</v>
      </c>
    </row>
    <row r="10" spans="1:6" x14ac:dyDescent="0.2">
      <c r="B10" t="s">
        <v>144</v>
      </c>
      <c r="C10">
        <v>0.64070400000000005</v>
      </c>
    </row>
    <row r="11" spans="1:6" x14ac:dyDescent="0.2">
      <c r="B11" t="s">
        <v>145</v>
      </c>
      <c r="C11">
        <v>0.55893599999999999</v>
      </c>
    </row>
    <row r="12" spans="1:6" x14ac:dyDescent="0.2">
      <c r="B12" t="s">
        <v>146</v>
      </c>
      <c r="C12">
        <v>0.204957</v>
      </c>
    </row>
    <row r="13" spans="1:6" x14ac:dyDescent="0.2">
      <c r="B13" t="s">
        <v>147</v>
      </c>
      <c r="C13">
        <v>5.7388399999999997</v>
      </c>
    </row>
    <row r="14" spans="1:6" x14ac:dyDescent="0.2">
      <c r="B14" t="s">
        <v>148</v>
      </c>
      <c r="C14">
        <v>5.6685100000000004</v>
      </c>
    </row>
    <row r="15" spans="1:6" x14ac:dyDescent="0.2">
      <c r="B15" t="s">
        <v>149</v>
      </c>
      <c r="C15">
        <v>6.16066</v>
      </c>
    </row>
    <row r="16" spans="1:6" x14ac:dyDescent="0.2">
      <c r="B16" t="s">
        <v>150</v>
      </c>
      <c r="C16">
        <v>5.8576600000000001</v>
      </c>
    </row>
    <row r="17" spans="2:3" x14ac:dyDescent="0.2">
      <c r="B17" t="s">
        <v>151</v>
      </c>
      <c r="C17">
        <v>6.0027200000000001</v>
      </c>
    </row>
    <row r="18" spans="2:3" x14ac:dyDescent="0.2">
      <c r="B18" t="s">
        <v>152</v>
      </c>
      <c r="C18">
        <v>0.165992</v>
      </c>
    </row>
    <row r="19" spans="2:3" x14ac:dyDescent="0.2">
      <c r="B19" t="s">
        <v>153</v>
      </c>
      <c r="C19">
        <v>0.58155400000000002</v>
      </c>
    </row>
    <row r="20" spans="2:3" x14ac:dyDescent="0.2">
      <c r="B20" t="s">
        <v>154</v>
      </c>
      <c r="C20">
        <v>0.165992</v>
      </c>
    </row>
    <row r="21" spans="2:3" x14ac:dyDescent="0.2">
      <c r="B21" t="s">
        <v>155</v>
      </c>
      <c r="C21">
        <v>5.8514200000000001</v>
      </c>
    </row>
    <row r="22" spans="2:3" x14ac:dyDescent="0.2">
      <c r="B22" t="s">
        <v>156</v>
      </c>
      <c r="C22">
        <v>5.8045099999999996</v>
      </c>
    </row>
    <row r="23" spans="2:3" x14ac:dyDescent="0.2">
      <c r="B23" t="s">
        <v>157</v>
      </c>
      <c r="C23">
        <v>5.8600199999999996</v>
      </c>
    </row>
    <row r="24" spans="2:3" x14ac:dyDescent="0.2">
      <c r="B24" t="s">
        <v>158</v>
      </c>
      <c r="C24">
        <v>0.54757599999999995</v>
      </c>
    </row>
    <row r="25" spans="2:3" x14ac:dyDescent="0.2">
      <c r="B25" t="s">
        <v>159</v>
      </c>
      <c r="C25">
        <v>0.63896500000000001</v>
      </c>
    </row>
    <row r="26" spans="2:3" x14ac:dyDescent="0.2">
      <c r="B26" t="s">
        <v>160</v>
      </c>
      <c r="C26">
        <v>5.5379399999999999</v>
      </c>
    </row>
    <row r="27" spans="2:3" x14ac:dyDescent="0.2">
      <c r="B27" t="s">
        <v>161</v>
      </c>
      <c r="C27">
        <v>0.60024500000000003</v>
      </c>
    </row>
    <row r="28" spans="2:3" x14ac:dyDescent="0.2">
      <c r="B28" t="s">
        <v>162</v>
      </c>
      <c r="C28">
        <v>0.998664</v>
      </c>
    </row>
    <row r="29" spans="2:3" x14ac:dyDescent="0.2">
      <c r="B29" t="s">
        <v>182</v>
      </c>
      <c r="C29">
        <v>1.9137900000000001</v>
      </c>
    </row>
    <row r="30" spans="2:3" x14ac:dyDescent="0.2">
      <c r="B30" t="s">
        <v>183</v>
      </c>
      <c r="C30">
        <v>5.8526800000000003</v>
      </c>
    </row>
    <row r="31" spans="2:3" x14ac:dyDescent="0.2">
      <c r="B31" t="s">
        <v>184</v>
      </c>
      <c r="C31">
        <v>1.0169999999999999</v>
      </c>
    </row>
    <row r="32" spans="2:3" x14ac:dyDescent="0.2">
      <c r="B32" t="s">
        <v>167</v>
      </c>
      <c r="C32">
        <v>0.31282199999999999</v>
      </c>
    </row>
    <row r="33" spans="2:3" x14ac:dyDescent="0.2">
      <c r="B33" t="s">
        <v>168</v>
      </c>
      <c r="C33">
        <v>0.72253400000000001</v>
      </c>
    </row>
    <row r="34" spans="2:3" x14ac:dyDescent="0.2">
      <c r="B34" t="s">
        <v>169</v>
      </c>
      <c r="C34">
        <v>0.25134899999999999</v>
      </c>
    </row>
    <row r="35" spans="2:3" x14ac:dyDescent="0.2">
      <c r="B35" t="s">
        <v>170</v>
      </c>
      <c r="C35">
        <v>1.26461</v>
      </c>
    </row>
    <row r="36" spans="2:3" x14ac:dyDescent="0.2">
      <c r="B36" t="s">
        <v>171</v>
      </c>
      <c r="C36">
        <v>0.38934999999999997</v>
      </c>
    </row>
    <row r="37" spans="2:3" x14ac:dyDescent="0.2">
      <c r="B37" t="s">
        <v>172</v>
      </c>
      <c r="C37">
        <v>0.25746400000000003</v>
      </c>
    </row>
    <row r="38" spans="2:3" x14ac:dyDescent="0.2">
      <c r="B38" t="s">
        <v>173</v>
      </c>
      <c r="C38">
        <v>0.33468500000000001</v>
      </c>
    </row>
    <row r="39" spans="2:3" x14ac:dyDescent="0.2">
      <c r="B39" t="s">
        <v>174</v>
      </c>
      <c r="C39">
        <v>0.66878700000000002</v>
      </c>
    </row>
    <row r="40" spans="2:3" x14ac:dyDescent="0.2">
      <c r="B40" t="s">
        <v>175</v>
      </c>
      <c r="C40">
        <v>1.1771499999999999</v>
      </c>
    </row>
    <row r="41" spans="2:3" x14ac:dyDescent="0.2">
      <c r="B41" t="s">
        <v>176</v>
      </c>
      <c r="C41">
        <v>0.83134600000000003</v>
      </c>
    </row>
    <row r="42" spans="2:3" x14ac:dyDescent="0.2">
      <c r="B42" t="s">
        <v>177</v>
      </c>
      <c r="C42">
        <v>0.76266800000000001</v>
      </c>
    </row>
    <row r="43" spans="2:3" x14ac:dyDescent="0.2">
      <c r="B43" t="s">
        <v>178</v>
      </c>
      <c r="C43">
        <v>0.78444100000000005</v>
      </c>
    </row>
    <row r="44" spans="2:3" x14ac:dyDescent="0.2">
      <c r="B44" t="s">
        <v>179</v>
      </c>
      <c r="C44">
        <v>0.21252499999999999</v>
      </c>
    </row>
    <row r="45" spans="2:3" x14ac:dyDescent="0.2">
      <c r="B45" t="s">
        <v>180</v>
      </c>
      <c r="C45">
        <v>0.51505100000000004</v>
      </c>
    </row>
    <row r="46" spans="2:3" x14ac:dyDescent="0.2">
      <c r="B46" t="s">
        <v>181</v>
      </c>
      <c r="C46">
        <v>6.1988000000000003</v>
      </c>
    </row>
    <row r="47" spans="2:3" x14ac:dyDescent="0.2">
      <c r="B47" t="s">
        <v>185</v>
      </c>
      <c r="C47">
        <v>6.2293000000000003</v>
      </c>
    </row>
    <row r="48" spans="2:3" x14ac:dyDescent="0.2">
      <c r="B48" t="s">
        <v>186</v>
      </c>
      <c r="C48">
        <v>6.2790900000000001</v>
      </c>
    </row>
    <row r="49" spans="2:3" x14ac:dyDescent="0.2">
      <c r="B49" t="s">
        <v>187</v>
      </c>
      <c r="C49">
        <v>0.32534099999999999</v>
      </c>
    </row>
    <row r="50" spans="2:3" x14ac:dyDescent="0.2">
      <c r="B50" t="s">
        <v>188</v>
      </c>
      <c r="C50">
        <v>0.165992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EC93F-0325-D948-A536-16BC5A38E2F8}">
  <dimension ref="A1:P209"/>
  <sheetViews>
    <sheetView workbookViewId="0">
      <selection activeCell="C2" sqref="C2"/>
    </sheetView>
  </sheetViews>
  <sheetFormatPr baseColWidth="10" defaultRowHeight="16" x14ac:dyDescent="0.2"/>
  <cols>
    <col min="2" max="2" width="21.33203125" customWidth="1"/>
    <col min="3" max="3" width="18.83203125" customWidth="1"/>
  </cols>
  <sheetData>
    <row r="1" spans="1:16" x14ac:dyDescent="0.2">
      <c r="A1" t="s">
        <v>193</v>
      </c>
      <c r="C1" t="s">
        <v>412</v>
      </c>
    </row>
    <row r="2" spans="1:16" x14ac:dyDescent="0.2">
      <c r="B2" s="1" t="s">
        <v>411</v>
      </c>
      <c r="C2" t="s">
        <v>413</v>
      </c>
    </row>
    <row r="3" spans="1:16" s="1" customFormat="1" x14ac:dyDescent="0.2">
      <c r="A3" s="1" t="s">
        <v>312</v>
      </c>
      <c r="B3" s="1" t="s">
        <v>236</v>
      </c>
      <c r="C3" s="1" t="s">
        <v>194</v>
      </c>
      <c r="D3" s="1" t="s">
        <v>237</v>
      </c>
      <c r="E3" s="1" t="s">
        <v>238</v>
      </c>
      <c r="G3" s="1" t="s">
        <v>195</v>
      </c>
      <c r="H3" s="1" t="s">
        <v>196</v>
      </c>
      <c r="J3" s="1" t="s">
        <v>197</v>
      </c>
      <c r="K3" s="1" t="s">
        <v>198</v>
      </c>
      <c r="L3" s="1" t="s">
        <v>199</v>
      </c>
    </row>
    <row r="4" spans="1:16" x14ac:dyDescent="0.2">
      <c r="A4">
        <v>1</v>
      </c>
      <c r="B4" t="s">
        <v>200</v>
      </c>
      <c r="C4">
        <v>1.4744600000000001</v>
      </c>
      <c r="D4">
        <v>1.4744600000000001</v>
      </c>
      <c r="E4">
        <v>0.37699100000000002</v>
      </c>
      <c r="G4">
        <v>21.599993214416418</v>
      </c>
      <c r="H4">
        <v>84.48033506085936</v>
      </c>
      <c r="J4" t="s">
        <v>201</v>
      </c>
      <c r="K4" t="s">
        <v>202</v>
      </c>
      <c r="L4" t="s">
        <v>203</v>
      </c>
      <c r="P4" t="s">
        <v>415</v>
      </c>
    </row>
    <row r="5" spans="1:16" x14ac:dyDescent="0.2">
      <c r="A5">
        <v>1</v>
      </c>
      <c r="B5" t="s">
        <v>204</v>
      </c>
      <c r="C5">
        <v>1.42805</v>
      </c>
      <c r="D5">
        <v>-1.42805</v>
      </c>
      <c r="E5">
        <v>4.87575</v>
      </c>
      <c r="G5">
        <v>279.35989696091116</v>
      </c>
      <c r="H5">
        <v>-81.82123793365723</v>
      </c>
      <c r="J5" t="s">
        <v>201</v>
      </c>
      <c r="K5" t="s">
        <v>201</v>
      </c>
      <c r="L5" t="s">
        <v>205</v>
      </c>
      <c r="P5" t="s">
        <v>414</v>
      </c>
    </row>
    <row r="6" spans="1:16" x14ac:dyDescent="0.2">
      <c r="A6">
        <v>1</v>
      </c>
      <c r="B6" t="s">
        <v>206</v>
      </c>
      <c r="C6">
        <v>1.3709499999999999</v>
      </c>
      <c r="D6">
        <v>-1.3709499999999999</v>
      </c>
      <c r="E6">
        <v>0.100531</v>
      </c>
      <c r="G6">
        <v>5.7600020102296785</v>
      </c>
      <c r="H6">
        <v>-78.549648923460211</v>
      </c>
      <c r="J6" t="s">
        <v>201</v>
      </c>
      <c r="K6" t="s">
        <v>201</v>
      </c>
      <c r="L6" t="s">
        <v>205</v>
      </c>
      <c r="P6" t="s">
        <v>416</v>
      </c>
    </row>
    <row r="7" spans="1:16" x14ac:dyDescent="0.2">
      <c r="A7">
        <v>1</v>
      </c>
      <c r="B7" t="s">
        <v>207</v>
      </c>
      <c r="C7">
        <v>1.3152900000000001</v>
      </c>
      <c r="D7">
        <v>-1.3152900000000001</v>
      </c>
      <c r="E7">
        <v>5.7051299999999996</v>
      </c>
      <c r="G7">
        <v>326.87987057347135</v>
      </c>
      <c r="H7">
        <v>-75.36056583576206</v>
      </c>
      <c r="J7" t="s">
        <v>201</v>
      </c>
      <c r="K7" t="s">
        <v>201</v>
      </c>
      <c r="L7" t="s">
        <v>205</v>
      </c>
      <c r="P7" t="s">
        <v>417</v>
      </c>
    </row>
    <row r="8" spans="1:16" x14ac:dyDescent="0.2">
      <c r="A8">
        <v>1</v>
      </c>
      <c r="B8" t="s">
        <v>208</v>
      </c>
      <c r="C8">
        <v>1.2316499999999999</v>
      </c>
      <c r="D8">
        <v>1.2316499999999999</v>
      </c>
      <c r="E8">
        <v>3.6693799999999999</v>
      </c>
      <c r="G8">
        <v>210.23998742971401</v>
      </c>
      <c r="H8">
        <v>70.568346837287834</v>
      </c>
      <c r="J8" t="s">
        <v>202</v>
      </c>
      <c r="K8" t="s">
        <v>202</v>
      </c>
      <c r="L8" t="s">
        <v>205</v>
      </c>
    </row>
    <row r="9" spans="1:16" x14ac:dyDescent="0.2">
      <c r="A9">
        <v>1</v>
      </c>
      <c r="B9" t="s">
        <v>209</v>
      </c>
      <c r="C9">
        <v>1.1986300000000001</v>
      </c>
      <c r="D9">
        <v>-1.1986300000000001</v>
      </c>
      <c r="E9">
        <v>5.6548699999999998</v>
      </c>
      <c r="G9">
        <v>324.00018469514384</v>
      </c>
      <c r="H9">
        <v>-68.676440197765871</v>
      </c>
      <c r="J9" t="s">
        <v>201</v>
      </c>
      <c r="K9" t="s">
        <v>201</v>
      </c>
      <c r="L9" t="s">
        <v>205</v>
      </c>
    </row>
    <row r="10" spans="1:16" x14ac:dyDescent="0.2">
      <c r="A10">
        <v>1</v>
      </c>
      <c r="B10" t="s">
        <v>210</v>
      </c>
      <c r="C10">
        <v>1.1944399999999999</v>
      </c>
      <c r="D10">
        <v>-1.28</v>
      </c>
      <c r="E10">
        <v>6.03186</v>
      </c>
      <c r="G10">
        <v>345.60012061378075</v>
      </c>
      <c r="H10">
        <v>-73.338597776745374</v>
      </c>
      <c r="J10" t="s">
        <v>201</v>
      </c>
      <c r="K10" t="s">
        <v>201</v>
      </c>
      <c r="L10" t="s">
        <v>205</v>
      </c>
    </row>
    <row r="11" spans="1:16" x14ac:dyDescent="0.2">
      <c r="A11">
        <v>1</v>
      </c>
      <c r="B11" t="s">
        <v>211</v>
      </c>
      <c r="C11">
        <v>1.17635</v>
      </c>
      <c r="D11">
        <v>-1.17635</v>
      </c>
      <c r="E11">
        <v>5.2527400000000002</v>
      </c>
      <c r="G11">
        <v>300.95983287954806</v>
      </c>
      <c r="H11">
        <v>-67.399890230214396</v>
      </c>
      <c r="J11" t="s">
        <v>201</v>
      </c>
      <c r="K11" t="s">
        <v>201</v>
      </c>
      <c r="L11" t="s">
        <v>205</v>
      </c>
    </row>
    <row r="12" spans="1:16" x14ac:dyDescent="0.2">
      <c r="A12">
        <v>1</v>
      </c>
      <c r="B12" t="s">
        <v>212</v>
      </c>
      <c r="C12">
        <v>1.1105400000000001</v>
      </c>
      <c r="D12">
        <v>1.1105400000000001</v>
      </c>
      <c r="E12">
        <v>2.0357500000000002</v>
      </c>
      <c r="G12">
        <v>116.63988314375736</v>
      </c>
      <c r="H12">
        <v>63.629254980458448</v>
      </c>
      <c r="J12" t="s">
        <v>202</v>
      </c>
      <c r="K12" t="s">
        <v>202</v>
      </c>
      <c r="L12" t="s">
        <v>205</v>
      </c>
    </row>
    <row r="13" spans="1:16" x14ac:dyDescent="0.2">
      <c r="A13">
        <v>1</v>
      </c>
      <c r="B13" t="s">
        <v>213</v>
      </c>
      <c r="C13">
        <v>1.09449</v>
      </c>
      <c r="D13">
        <v>-1.09449</v>
      </c>
      <c r="E13">
        <v>0</v>
      </c>
      <c r="G13">
        <v>0</v>
      </c>
      <c r="H13">
        <v>-62.709657719273466</v>
      </c>
      <c r="J13" t="s">
        <v>201</v>
      </c>
      <c r="K13" t="s">
        <v>201</v>
      </c>
      <c r="L13" t="s">
        <v>205</v>
      </c>
    </row>
    <row r="14" spans="1:16" x14ac:dyDescent="0.2">
      <c r="A14">
        <v>1</v>
      </c>
      <c r="B14" t="s">
        <v>214</v>
      </c>
      <c r="C14">
        <v>1.0557700000000001</v>
      </c>
      <c r="D14">
        <v>-0.86599999999999999</v>
      </c>
      <c r="E14">
        <v>6.1072600000000001</v>
      </c>
      <c r="G14">
        <v>349.92022238906719</v>
      </c>
      <c r="H14">
        <v>-49.61814505832929</v>
      </c>
      <c r="J14" t="s">
        <v>201</v>
      </c>
      <c r="K14" t="s">
        <v>201</v>
      </c>
      <c r="L14" t="s">
        <v>205</v>
      </c>
    </row>
    <row r="15" spans="1:16" x14ac:dyDescent="0.2">
      <c r="A15">
        <v>1</v>
      </c>
      <c r="B15" t="s">
        <v>215</v>
      </c>
      <c r="C15">
        <v>1.04217</v>
      </c>
      <c r="D15">
        <v>-1.04217</v>
      </c>
      <c r="E15">
        <v>5.73027</v>
      </c>
      <c r="G15">
        <v>328.32028647043023</v>
      </c>
      <c r="H15">
        <v>-59.711942535149007</v>
      </c>
      <c r="J15" t="s">
        <v>201</v>
      </c>
      <c r="K15" t="s">
        <v>201</v>
      </c>
      <c r="L15" t="s">
        <v>205</v>
      </c>
    </row>
    <row r="16" spans="1:16" x14ac:dyDescent="0.2">
      <c r="A16">
        <v>1</v>
      </c>
      <c r="B16" t="s">
        <v>216</v>
      </c>
      <c r="C16">
        <v>1.0342499999999999</v>
      </c>
      <c r="D16">
        <v>-1.0342499999999999</v>
      </c>
      <c r="E16">
        <v>5.3784099999999997</v>
      </c>
      <c r="G16">
        <v>308.16019349095711</v>
      </c>
      <c r="H16">
        <v>-59.25815996140539</v>
      </c>
      <c r="J16" t="s">
        <v>201</v>
      </c>
      <c r="K16" t="s">
        <v>201</v>
      </c>
      <c r="L16" t="s">
        <v>205</v>
      </c>
    </row>
    <row r="17" spans="1:12" x14ac:dyDescent="0.2">
      <c r="A17">
        <v>1</v>
      </c>
      <c r="B17" t="s">
        <v>217</v>
      </c>
      <c r="C17">
        <v>0.98439900000000002</v>
      </c>
      <c r="D17">
        <v>-0.98439900000000002</v>
      </c>
      <c r="E17">
        <v>5.4286700000000003</v>
      </c>
      <c r="G17">
        <v>311.03987936928462</v>
      </c>
      <c r="H17">
        <v>-56.401908056898726</v>
      </c>
      <c r="J17" t="s">
        <v>201</v>
      </c>
      <c r="K17" t="s">
        <v>201</v>
      </c>
      <c r="L17" t="s">
        <v>205</v>
      </c>
    </row>
    <row r="18" spans="1:12" x14ac:dyDescent="0.2">
      <c r="A18">
        <v>1</v>
      </c>
      <c r="B18" t="s">
        <v>218</v>
      </c>
      <c r="C18">
        <v>0.93694599999999995</v>
      </c>
      <c r="D18">
        <v>-0.93694599999999995</v>
      </c>
      <c r="E18">
        <v>5.73027</v>
      </c>
      <c r="G18">
        <v>328.32028647043023</v>
      </c>
      <c r="H18">
        <v>-53.683051431664424</v>
      </c>
      <c r="J18" t="s">
        <v>201</v>
      </c>
      <c r="K18" t="s">
        <v>201</v>
      </c>
      <c r="L18" t="s">
        <v>205</v>
      </c>
    </row>
    <row r="19" spans="1:12" x14ac:dyDescent="0.2">
      <c r="A19">
        <v>1</v>
      </c>
      <c r="B19" t="s">
        <v>219</v>
      </c>
      <c r="C19">
        <v>0.93106900000000004</v>
      </c>
      <c r="D19">
        <v>-0.93106900000000004</v>
      </c>
      <c r="E19">
        <v>5.07681</v>
      </c>
      <c r="G19">
        <v>290.87978638981144</v>
      </c>
      <c r="H19">
        <v>-53.346324135466048</v>
      </c>
      <c r="J19" t="s">
        <v>201</v>
      </c>
      <c r="K19" t="s">
        <v>201</v>
      </c>
      <c r="L19" t="s">
        <v>205</v>
      </c>
    </row>
    <row r="20" spans="1:12" x14ac:dyDescent="0.2">
      <c r="A20">
        <v>1</v>
      </c>
      <c r="B20" t="s">
        <v>220</v>
      </c>
      <c r="C20">
        <v>0.92879299999999998</v>
      </c>
      <c r="D20">
        <v>-0.92879299999999998</v>
      </c>
      <c r="E20">
        <v>5.6297300000000003</v>
      </c>
      <c r="G20">
        <v>322.55976879818496</v>
      </c>
      <c r="H20">
        <v>-53.215918941294269</v>
      </c>
      <c r="J20" t="s">
        <v>201</v>
      </c>
      <c r="K20" t="s">
        <v>201</v>
      </c>
      <c r="L20" t="s">
        <v>205</v>
      </c>
    </row>
    <row r="21" spans="1:12" x14ac:dyDescent="0.2">
      <c r="A21">
        <v>1</v>
      </c>
      <c r="B21" t="s">
        <v>221</v>
      </c>
      <c r="C21">
        <v>0.89632699999999998</v>
      </c>
      <c r="D21">
        <v>-0.89632699999999998</v>
      </c>
      <c r="E21">
        <v>0.15079600000000001</v>
      </c>
      <c r="G21">
        <v>8.6399743674547622</v>
      </c>
      <c r="H21">
        <v>-51.355754163622542</v>
      </c>
      <c r="J21" t="s">
        <v>201</v>
      </c>
      <c r="K21" t="s">
        <v>201</v>
      </c>
      <c r="L21" t="s">
        <v>205</v>
      </c>
    </row>
    <row r="22" spans="1:12" x14ac:dyDescent="0.2">
      <c r="A22">
        <v>1</v>
      </c>
      <c r="B22" t="s">
        <v>222</v>
      </c>
      <c r="C22">
        <v>0.89466500000000004</v>
      </c>
      <c r="D22">
        <v>-0.89466500000000004</v>
      </c>
      <c r="E22">
        <v>0.32672600000000002</v>
      </c>
      <c r="G22">
        <v>18.720020857191336</v>
      </c>
      <c r="H22">
        <v>-51.260528578071799</v>
      </c>
      <c r="J22" t="s">
        <v>201</v>
      </c>
      <c r="K22" t="s">
        <v>201</v>
      </c>
      <c r="L22" t="s">
        <v>205</v>
      </c>
    </row>
    <row r="23" spans="1:12" x14ac:dyDescent="0.2">
      <c r="A23">
        <v>1</v>
      </c>
      <c r="B23" t="s">
        <v>223</v>
      </c>
      <c r="C23">
        <v>0.87108099999999999</v>
      </c>
      <c r="D23">
        <v>-0.64</v>
      </c>
      <c r="E23">
        <v>0</v>
      </c>
      <c r="G23">
        <v>0</v>
      </c>
      <c r="H23">
        <v>-36.669298888372687</v>
      </c>
      <c r="J23" t="s">
        <v>201</v>
      </c>
      <c r="K23" t="s">
        <v>201</v>
      </c>
      <c r="L23" t="s">
        <v>205</v>
      </c>
    </row>
    <row r="24" spans="1:12" x14ac:dyDescent="0.2">
      <c r="A24">
        <v>1</v>
      </c>
      <c r="B24" t="s">
        <v>224</v>
      </c>
      <c r="C24">
        <v>0.85100699999999996</v>
      </c>
      <c r="D24">
        <v>-0.85100699999999996</v>
      </c>
      <c r="E24">
        <v>0.653451</v>
      </c>
      <c r="G24">
        <v>37.439984418603153</v>
      </c>
      <c r="H24">
        <v>-48.759109436089645</v>
      </c>
      <c r="J24" t="s">
        <v>201</v>
      </c>
      <c r="K24" t="s">
        <v>201</v>
      </c>
      <c r="L24" t="s">
        <v>205</v>
      </c>
    </row>
    <row r="25" spans="1:12" x14ac:dyDescent="0.2">
      <c r="A25">
        <v>1</v>
      </c>
      <c r="B25" t="s">
        <v>225</v>
      </c>
      <c r="C25">
        <v>0.82584000000000002</v>
      </c>
      <c r="D25">
        <v>0.82584000000000002</v>
      </c>
      <c r="E25">
        <v>2.84</v>
      </c>
      <c r="G25">
        <v>162.72001381715378</v>
      </c>
      <c r="H25">
        <v>47.317146553083909</v>
      </c>
      <c r="J25" t="s">
        <v>202</v>
      </c>
      <c r="K25" t="s">
        <v>202</v>
      </c>
      <c r="L25" t="s">
        <v>205</v>
      </c>
    </row>
    <row r="26" spans="1:12" x14ac:dyDescent="0.2">
      <c r="A26">
        <v>1</v>
      </c>
      <c r="B26" t="s">
        <v>226</v>
      </c>
      <c r="C26">
        <v>0.81629600000000002</v>
      </c>
      <c r="D26">
        <v>-0.81629600000000002</v>
      </c>
      <c r="E26">
        <v>5.5292000000000003</v>
      </c>
      <c r="G26">
        <v>316.79982408373479</v>
      </c>
      <c r="H26">
        <v>-46.770315633411045</v>
      </c>
      <c r="J26" t="s">
        <v>201</v>
      </c>
      <c r="K26" t="s">
        <v>201</v>
      </c>
      <c r="L26" t="s">
        <v>205</v>
      </c>
    </row>
    <row r="27" spans="1:12" x14ac:dyDescent="0.2">
      <c r="A27">
        <v>1</v>
      </c>
      <c r="B27" t="s">
        <v>227</v>
      </c>
      <c r="C27">
        <v>0.80940000000000001</v>
      </c>
      <c r="D27">
        <v>-0.80940000000000001</v>
      </c>
      <c r="E27">
        <v>5.9564599999999999</v>
      </c>
      <c r="G27">
        <v>341.28001883849436</v>
      </c>
      <c r="H27">
        <v>-46.375203937888834</v>
      </c>
      <c r="J27" t="s">
        <v>201</v>
      </c>
      <c r="K27" t="s">
        <v>201</v>
      </c>
      <c r="L27" t="s">
        <v>205</v>
      </c>
    </row>
    <row r="28" spans="1:12" x14ac:dyDescent="0.2">
      <c r="A28">
        <v>1</v>
      </c>
      <c r="B28" t="s">
        <v>228</v>
      </c>
      <c r="C28">
        <v>0.80793999999999999</v>
      </c>
      <c r="D28">
        <v>-0.80793999999999999</v>
      </c>
      <c r="E28">
        <v>0.52778800000000003</v>
      </c>
      <c r="G28">
        <v>30.240024877650693</v>
      </c>
      <c r="H28">
        <v>-46.291552099799738</v>
      </c>
      <c r="J28" t="s">
        <v>201</v>
      </c>
      <c r="K28" t="s">
        <v>201</v>
      </c>
      <c r="L28" t="s">
        <v>205</v>
      </c>
    </row>
    <row r="29" spans="1:12" x14ac:dyDescent="0.2">
      <c r="A29">
        <v>1</v>
      </c>
      <c r="B29" t="s">
        <v>229</v>
      </c>
      <c r="C29">
        <v>0.79137100000000005</v>
      </c>
      <c r="D29">
        <v>-0.79137100000000005</v>
      </c>
      <c r="E29">
        <v>6.1072600000000001</v>
      </c>
      <c r="G29">
        <v>349.92022238906719</v>
      </c>
      <c r="H29">
        <v>-45.342218329047476</v>
      </c>
      <c r="J29" t="s">
        <v>201</v>
      </c>
      <c r="K29" t="s">
        <v>201</v>
      </c>
      <c r="L29" t="s">
        <v>205</v>
      </c>
    </row>
    <row r="30" spans="1:12" x14ac:dyDescent="0.2">
      <c r="A30">
        <v>1</v>
      </c>
      <c r="B30" t="s">
        <v>230</v>
      </c>
      <c r="C30">
        <v>0.78927599999999998</v>
      </c>
      <c r="D30">
        <v>-0.78927599999999998</v>
      </c>
      <c r="E30">
        <v>0.100531</v>
      </c>
      <c r="G30">
        <v>5.7600020102296785</v>
      </c>
      <c r="H30">
        <v>-45.222183670967567</v>
      </c>
      <c r="J30" t="s">
        <v>201</v>
      </c>
      <c r="K30" t="s">
        <v>201</v>
      </c>
      <c r="L30" t="s">
        <v>205</v>
      </c>
    </row>
    <row r="31" spans="1:12" x14ac:dyDescent="0.2">
      <c r="A31">
        <v>1</v>
      </c>
      <c r="B31" t="s">
        <v>231</v>
      </c>
      <c r="C31">
        <v>0.73041699999999998</v>
      </c>
      <c r="D31">
        <v>-0.85</v>
      </c>
      <c r="E31">
        <v>5.8810599999999997</v>
      </c>
      <c r="G31">
        <v>336.95991706320791</v>
      </c>
      <c r="H31">
        <v>-48.701412586119972</v>
      </c>
      <c r="J31" t="s">
        <v>201</v>
      </c>
      <c r="K31" t="s">
        <v>201</v>
      </c>
      <c r="L31" t="s">
        <v>205</v>
      </c>
    </row>
    <row r="32" spans="1:12" x14ac:dyDescent="0.2">
      <c r="A32">
        <v>1</v>
      </c>
      <c r="B32" t="s">
        <v>232</v>
      </c>
      <c r="C32">
        <v>0.68044400000000005</v>
      </c>
      <c r="D32">
        <v>-0.64</v>
      </c>
      <c r="E32">
        <v>7.5398199999999999E-2</v>
      </c>
      <c r="G32">
        <v>4.3199986428832835</v>
      </c>
      <c r="H32">
        <v>-36.669298888372687</v>
      </c>
      <c r="J32" t="s">
        <v>201</v>
      </c>
      <c r="K32" t="s">
        <v>201</v>
      </c>
      <c r="L32" t="s">
        <v>205</v>
      </c>
    </row>
    <row r="33" spans="1:12" x14ac:dyDescent="0.2">
      <c r="A33">
        <v>1</v>
      </c>
      <c r="B33" t="s">
        <v>233</v>
      </c>
      <c r="C33">
        <v>0.57205600000000001</v>
      </c>
      <c r="D33">
        <v>-0.57205600000000001</v>
      </c>
      <c r="E33">
        <v>5.2024800000000004</v>
      </c>
      <c r="G33">
        <v>298.08014700122055</v>
      </c>
      <c r="H33">
        <v>-32.776394445135821</v>
      </c>
      <c r="J33" t="s">
        <v>201</v>
      </c>
      <c r="K33" t="s">
        <v>201</v>
      </c>
      <c r="L33" t="s">
        <v>205</v>
      </c>
    </row>
    <row r="34" spans="1:12" x14ac:dyDescent="0.2">
      <c r="A34">
        <v>1</v>
      </c>
      <c r="B34" t="s">
        <v>234</v>
      </c>
      <c r="C34">
        <v>0.55000000000000004</v>
      </c>
      <c r="D34">
        <v>-0.55000000000000004</v>
      </c>
      <c r="E34">
        <v>5.0265499999999998E-2</v>
      </c>
      <c r="G34">
        <v>2.8800010051148393</v>
      </c>
      <c r="H34">
        <v>-31.512678732195283</v>
      </c>
      <c r="J34" t="s">
        <v>201</v>
      </c>
      <c r="K34" t="s">
        <v>201</v>
      </c>
      <c r="L34" t="s">
        <v>205</v>
      </c>
    </row>
    <row r="35" spans="1:12" x14ac:dyDescent="0.2">
      <c r="A35">
        <v>1</v>
      </c>
      <c r="B35" t="s">
        <v>235</v>
      </c>
      <c r="C35">
        <v>0.51240799999999997</v>
      </c>
      <c r="D35">
        <v>-0.51240799999999997</v>
      </c>
      <c r="E35">
        <v>5.5040699999999996</v>
      </c>
      <c r="G35">
        <v>315.35998114457101</v>
      </c>
      <c r="H35">
        <v>-29.358815788739488</v>
      </c>
      <c r="J35" t="s">
        <v>201</v>
      </c>
      <c r="K35" t="s">
        <v>201</v>
      </c>
      <c r="L35" t="s">
        <v>205</v>
      </c>
    </row>
    <row r="36" spans="1:12" x14ac:dyDescent="0.2">
      <c r="A36">
        <v>2</v>
      </c>
      <c r="B36" t="s">
        <v>313</v>
      </c>
      <c r="C36">
        <v>0.56220999999999999</v>
      </c>
      <c r="D36">
        <v>-8.6771399999999999E-2</v>
      </c>
      <c r="E36">
        <v>5.8308</v>
      </c>
      <c r="G36" s="4">
        <f>E36*180/PI()</f>
        <v>334.08023118488046</v>
      </c>
      <c r="H36" s="4">
        <f>D36*180/PI()</f>
        <v>-4.9716350024414719</v>
      </c>
      <c r="J36" t="str">
        <f>IF(AND(G36&gt;60,G36&lt;240), "LEFT", "RIGHT")</f>
        <v>RIGHT</v>
      </c>
      <c r="K36" t="str">
        <f>IF(D36&gt;0, "LEFT", "RIGHT")</f>
        <v>RIGHT</v>
      </c>
      <c r="L36" t="str">
        <f>IF(K36=J36, "YES", "NO")</f>
        <v>YES</v>
      </c>
    </row>
    <row r="37" spans="1:12" x14ac:dyDescent="0.2">
      <c r="A37">
        <v>2</v>
      </c>
      <c r="B37" t="s">
        <v>314</v>
      </c>
      <c r="C37">
        <v>0.66665300000000005</v>
      </c>
      <c r="D37">
        <v>-0.607792</v>
      </c>
      <c r="E37">
        <v>5.73027</v>
      </c>
      <c r="G37" s="4">
        <f t="shared" ref="G37:G58" si="0">E37*180/PI()</f>
        <v>328.32028647043023</v>
      </c>
      <c r="H37" s="4">
        <f t="shared" ref="H37:H58" si="1">D37*180/PI()</f>
        <v>-34.823916421815326</v>
      </c>
      <c r="J37" t="str">
        <f t="shared" ref="J37:J58" si="2">IF(AND(G37&gt;60,G37&lt;240), "LEFT", "RIGHT")</f>
        <v>RIGHT</v>
      </c>
      <c r="K37" t="str">
        <f t="shared" ref="K37:K58" si="3">IF(D37&gt;0, "LEFT", "RIGHT")</f>
        <v>RIGHT</v>
      </c>
      <c r="L37" t="str">
        <f t="shared" ref="L37:L58" si="4">IF(K37=J37, "YES", "NO")</f>
        <v>YES</v>
      </c>
    </row>
    <row r="38" spans="1:12" x14ac:dyDescent="0.2">
      <c r="A38">
        <v>2</v>
      </c>
      <c r="B38" t="s">
        <v>315</v>
      </c>
      <c r="C38">
        <v>0.72335000000000005</v>
      </c>
      <c r="D38">
        <v>-0.219639</v>
      </c>
      <c r="E38">
        <v>6.0569899999999999</v>
      </c>
      <c r="G38" s="4">
        <f t="shared" si="0"/>
        <v>347.03996355294447</v>
      </c>
      <c r="H38" s="4">
        <f t="shared" si="1"/>
        <v>-12.58438771647389</v>
      </c>
      <c r="J38" t="str">
        <f t="shared" si="2"/>
        <v>RIGHT</v>
      </c>
      <c r="K38" t="str">
        <f t="shared" si="3"/>
        <v>RIGHT</v>
      </c>
      <c r="L38" t="str">
        <f t="shared" si="4"/>
        <v>YES</v>
      </c>
    </row>
    <row r="39" spans="1:12" x14ac:dyDescent="0.2">
      <c r="A39">
        <v>2</v>
      </c>
      <c r="B39" t="s">
        <v>316</v>
      </c>
      <c r="C39">
        <v>0.74348700000000001</v>
      </c>
      <c r="D39">
        <v>0.45674999999999999</v>
      </c>
      <c r="E39">
        <v>1.4577</v>
      </c>
      <c r="G39" s="4">
        <f t="shared" si="0"/>
        <v>83.520057796220115</v>
      </c>
      <c r="H39" s="4">
        <f t="shared" si="1"/>
        <v>26.169847292600352</v>
      </c>
      <c r="J39" t="str">
        <f t="shared" si="2"/>
        <v>LEFT</v>
      </c>
      <c r="K39" t="str">
        <f t="shared" si="3"/>
        <v>LEFT</v>
      </c>
      <c r="L39" t="str">
        <f t="shared" si="4"/>
        <v>YES</v>
      </c>
    </row>
    <row r="40" spans="1:12" x14ac:dyDescent="0.2">
      <c r="A40">
        <v>2</v>
      </c>
      <c r="B40" t="s">
        <v>317</v>
      </c>
      <c r="C40">
        <v>0.81236399999999998</v>
      </c>
      <c r="D40">
        <v>2.5445499999999999E-2</v>
      </c>
      <c r="E40">
        <v>4.3731</v>
      </c>
      <c r="G40" s="4">
        <f t="shared" si="0"/>
        <v>250.5601733886603</v>
      </c>
      <c r="H40" s="4">
        <f t="shared" si="1"/>
        <v>1.4579197576001361</v>
      </c>
      <c r="J40" t="str">
        <f t="shared" si="2"/>
        <v>RIGHT</v>
      </c>
      <c r="K40" t="str">
        <f t="shared" si="3"/>
        <v>LEFT</v>
      </c>
      <c r="L40" t="str">
        <f t="shared" si="4"/>
        <v>NO</v>
      </c>
    </row>
    <row r="41" spans="1:12" x14ac:dyDescent="0.2">
      <c r="A41">
        <v>2</v>
      </c>
      <c r="B41" t="s">
        <v>318</v>
      </c>
      <c r="C41">
        <v>0.94091499999999995</v>
      </c>
      <c r="D41">
        <v>-3.1376300000000003E-2</v>
      </c>
      <c r="E41">
        <v>6.03186</v>
      </c>
      <c r="G41" s="4">
        <f t="shared" si="0"/>
        <v>345.60012061378075</v>
      </c>
      <c r="H41" s="4">
        <f t="shared" si="1"/>
        <v>-1.7977295667363251</v>
      </c>
      <c r="J41" t="str">
        <f t="shared" si="2"/>
        <v>RIGHT</v>
      </c>
      <c r="K41" t="str">
        <f t="shared" si="3"/>
        <v>RIGHT</v>
      </c>
      <c r="L41" t="str">
        <f t="shared" si="4"/>
        <v>YES</v>
      </c>
    </row>
    <row r="42" spans="1:12" x14ac:dyDescent="0.2">
      <c r="A42">
        <v>2</v>
      </c>
      <c r="B42" t="s">
        <v>319</v>
      </c>
      <c r="C42">
        <v>0.962812</v>
      </c>
      <c r="D42">
        <v>-0.84548400000000001</v>
      </c>
      <c r="E42">
        <v>0.70371700000000004</v>
      </c>
      <c r="G42" s="4">
        <f t="shared" si="0"/>
        <v>40.320014071607751</v>
      </c>
      <c r="H42" s="4">
        <f t="shared" si="1"/>
        <v>-48.442664845838891</v>
      </c>
      <c r="J42" t="str">
        <f t="shared" si="2"/>
        <v>RIGHT</v>
      </c>
      <c r="K42" t="str">
        <f t="shared" si="3"/>
        <v>RIGHT</v>
      </c>
      <c r="L42" t="str">
        <f t="shared" si="4"/>
        <v>YES</v>
      </c>
    </row>
    <row r="43" spans="1:12" x14ac:dyDescent="0.2">
      <c r="A43">
        <v>2</v>
      </c>
      <c r="B43" t="s">
        <v>320</v>
      </c>
      <c r="C43">
        <v>0.96938500000000005</v>
      </c>
      <c r="D43">
        <v>-0.46914899999999998</v>
      </c>
      <c r="E43">
        <v>5.7553999999999998</v>
      </c>
      <c r="G43" s="4">
        <f t="shared" si="0"/>
        <v>329.76012940959401</v>
      </c>
      <c r="H43" s="4">
        <f t="shared" si="1"/>
        <v>-26.880257662783059</v>
      </c>
      <c r="J43" t="str">
        <f t="shared" si="2"/>
        <v>RIGHT</v>
      </c>
      <c r="K43" t="str">
        <f t="shared" si="3"/>
        <v>RIGHT</v>
      </c>
      <c r="L43" t="str">
        <f t="shared" si="4"/>
        <v>YES</v>
      </c>
    </row>
    <row r="44" spans="1:12" x14ac:dyDescent="0.2">
      <c r="A44">
        <v>2</v>
      </c>
      <c r="B44" t="s">
        <v>321</v>
      </c>
      <c r="C44">
        <v>0.97435099999999997</v>
      </c>
      <c r="D44">
        <v>-1.7988299999999999E-2</v>
      </c>
      <c r="E44">
        <v>5.9815899999999997</v>
      </c>
      <c r="G44" s="4">
        <f t="shared" si="0"/>
        <v>342.71986177765802</v>
      </c>
      <c r="H44" s="4">
        <f t="shared" si="1"/>
        <v>-1.0306536706151788</v>
      </c>
      <c r="J44" t="str">
        <f t="shared" si="2"/>
        <v>RIGHT</v>
      </c>
      <c r="K44" t="str">
        <f t="shared" si="3"/>
        <v>RIGHT</v>
      </c>
      <c r="L44" t="str">
        <f t="shared" si="4"/>
        <v>YES</v>
      </c>
    </row>
    <row r="45" spans="1:12" x14ac:dyDescent="0.2">
      <c r="A45">
        <v>2</v>
      </c>
      <c r="B45" t="s">
        <v>322</v>
      </c>
      <c r="C45">
        <v>0.98375500000000005</v>
      </c>
      <c r="D45">
        <v>-0.48369299999999998</v>
      </c>
      <c r="E45">
        <v>6.2077900000000001</v>
      </c>
      <c r="G45" s="4">
        <f t="shared" si="0"/>
        <v>355.68016710351731</v>
      </c>
      <c r="H45" s="4">
        <f t="shared" si="1"/>
        <v>-27.713567480021329</v>
      </c>
      <c r="J45" t="str">
        <f t="shared" si="2"/>
        <v>RIGHT</v>
      </c>
      <c r="K45" t="str">
        <f t="shared" si="3"/>
        <v>RIGHT</v>
      </c>
      <c r="L45" t="str">
        <f t="shared" si="4"/>
        <v>YES</v>
      </c>
    </row>
    <row r="46" spans="1:12" x14ac:dyDescent="0.2">
      <c r="A46">
        <v>2</v>
      </c>
      <c r="B46" t="s">
        <v>323</v>
      </c>
      <c r="C46">
        <v>0.99936899999999995</v>
      </c>
      <c r="D46">
        <v>-0.42507899999999998</v>
      </c>
      <c r="E46">
        <v>5.7805299999999997</v>
      </c>
      <c r="G46" s="4">
        <f t="shared" si="0"/>
        <v>331.19997234875774</v>
      </c>
      <c r="H46" s="4">
        <f t="shared" si="1"/>
        <v>-24.355232659641519</v>
      </c>
      <c r="J46" t="str">
        <f t="shared" si="2"/>
        <v>RIGHT</v>
      </c>
      <c r="K46" t="str">
        <f t="shared" si="3"/>
        <v>RIGHT</v>
      </c>
      <c r="L46" t="str">
        <f t="shared" si="4"/>
        <v>YES</v>
      </c>
    </row>
    <row r="47" spans="1:12" x14ac:dyDescent="0.2">
      <c r="A47">
        <v>2</v>
      </c>
      <c r="B47" t="s">
        <v>324</v>
      </c>
      <c r="C47">
        <v>1.09209</v>
      </c>
      <c r="D47">
        <v>-0.84808899999999998</v>
      </c>
      <c r="E47">
        <v>0</v>
      </c>
      <c r="G47" s="4">
        <f t="shared" si="0"/>
        <v>0</v>
      </c>
      <c r="H47" s="4">
        <f t="shared" si="1"/>
        <v>-48.591920351470471</v>
      </c>
      <c r="J47" t="str">
        <f t="shared" si="2"/>
        <v>RIGHT</v>
      </c>
      <c r="K47" t="str">
        <f t="shared" si="3"/>
        <v>RIGHT</v>
      </c>
      <c r="L47" t="str">
        <f t="shared" si="4"/>
        <v>YES</v>
      </c>
    </row>
    <row r="48" spans="1:12" x14ac:dyDescent="0.2">
      <c r="A48">
        <v>2</v>
      </c>
      <c r="B48" t="s">
        <v>325</v>
      </c>
      <c r="C48">
        <v>1.11189</v>
      </c>
      <c r="D48">
        <v>0.520706</v>
      </c>
      <c r="E48">
        <v>2.0106199999999999</v>
      </c>
      <c r="G48" s="4">
        <f t="shared" si="0"/>
        <v>115.20004020459356</v>
      </c>
      <c r="H48" s="4">
        <f t="shared" si="1"/>
        <v>29.834256167139046</v>
      </c>
      <c r="J48" t="str">
        <f t="shared" si="2"/>
        <v>LEFT</v>
      </c>
      <c r="K48" t="str">
        <f t="shared" si="3"/>
        <v>LEFT</v>
      </c>
      <c r="L48" t="str">
        <f t="shared" si="4"/>
        <v>YES</v>
      </c>
    </row>
    <row r="49" spans="1:12" x14ac:dyDescent="0.2">
      <c r="A49">
        <v>2</v>
      </c>
      <c r="B49" t="s">
        <v>326</v>
      </c>
      <c r="C49">
        <v>1.1427400000000001</v>
      </c>
      <c r="D49">
        <v>0.33012200000000003</v>
      </c>
      <c r="E49">
        <v>2.58867</v>
      </c>
      <c r="G49" s="4">
        <f t="shared" si="0"/>
        <v>148.31986555213081</v>
      </c>
      <c r="H49" s="4">
        <f t="shared" si="1"/>
        <v>18.914597324417766</v>
      </c>
      <c r="J49" t="str">
        <f t="shared" si="2"/>
        <v>LEFT</v>
      </c>
      <c r="K49" t="str">
        <f t="shared" si="3"/>
        <v>LEFT</v>
      </c>
      <c r="L49" t="str">
        <f t="shared" si="4"/>
        <v>YES</v>
      </c>
    </row>
    <row r="50" spans="1:12" x14ac:dyDescent="0.2">
      <c r="A50">
        <v>2</v>
      </c>
      <c r="B50" t="s">
        <v>327</v>
      </c>
      <c r="C50">
        <v>1.1637999999999999</v>
      </c>
      <c r="D50">
        <v>0.57269800000000004</v>
      </c>
      <c r="E50">
        <v>2.9154</v>
      </c>
      <c r="G50" s="4">
        <f t="shared" si="0"/>
        <v>167.04011559244023</v>
      </c>
      <c r="H50" s="4">
        <f t="shared" si="1"/>
        <v>32.813178335583224</v>
      </c>
      <c r="J50" t="str">
        <f t="shared" si="2"/>
        <v>LEFT</v>
      </c>
      <c r="K50" t="str">
        <f t="shared" si="3"/>
        <v>LEFT</v>
      </c>
      <c r="L50" t="str">
        <f t="shared" si="4"/>
        <v>YES</v>
      </c>
    </row>
    <row r="51" spans="1:12" x14ac:dyDescent="0.2">
      <c r="A51">
        <v>2</v>
      </c>
      <c r="B51" t="s">
        <v>328</v>
      </c>
      <c r="C51">
        <v>1.28623</v>
      </c>
      <c r="D51">
        <v>-2.8566299999999999E-2</v>
      </c>
      <c r="E51">
        <v>0.50265499999999996</v>
      </c>
      <c r="G51" s="4">
        <f t="shared" si="0"/>
        <v>28.800010051148391</v>
      </c>
      <c r="H51" s="4">
        <f t="shared" si="1"/>
        <v>-1.6367284263045636</v>
      </c>
      <c r="J51" t="str">
        <f t="shared" si="2"/>
        <v>RIGHT</v>
      </c>
      <c r="K51" t="str">
        <f t="shared" si="3"/>
        <v>RIGHT</v>
      </c>
      <c r="L51" t="str">
        <f t="shared" si="4"/>
        <v>YES</v>
      </c>
    </row>
    <row r="52" spans="1:12" x14ac:dyDescent="0.2">
      <c r="A52">
        <v>2</v>
      </c>
      <c r="B52" t="s">
        <v>329</v>
      </c>
      <c r="C52">
        <v>1.2981100000000001</v>
      </c>
      <c r="D52">
        <v>-1.01634</v>
      </c>
      <c r="E52">
        <v>5.1773400000000001</v>
      </c>
      <c r="G52" s="4">
        <f t="shared" si="0"/>
        <v>296.63973110426161</v>
      </c>
      <c r="H52" s="4">
        <f t="shared" si="1"/>
        <v>-58.23199255032609</v>
      </c>
      <c r="J52" t="str">
        <f t="shared" si="2"/>
        <v>RIGHT</v>
      </c>
      <c r="K52" t="str">
        <f t="shared" si="3"/>
        <v>RIGHT</v>
      </c>
      <c r="L52" t="str">
        <f t="shared" si="4"/>
        <v>YES</v>
      </c>
    </row>
    <row r="53" spans="1:12" x14ac:dyDescent="0.2">
      <c r="A53">
        <v>2</v>
      </c>
      <c r="B53" t="s">
        <v>330</v>
      </c>
      <c r="C53">
        <v>1.3033999999999999</v>
      </c>
      <c r="D53">
        <v>-0.35404600000000003</v>
      </c>
      <c r="E53">
        <v>5.9564599999999999</v>
      </c>
      <c r="G53" s="4">
        <f t="shared" si="0"/>
        <v>341.28001883849436</v>
      </c>
      <c r="H53" s="4">
        <f t="shared" si="1"/>
        <v>-20.285341553488745</v>
      </c>
      <c r="J53" t="str">
        <f t="shared" si="2"/>
        <v>RIGHT</v>
      </c>
      <c r="K53" t="str">
        <f t="shared" si="3"/>
        <v>RIGHT</v>
      </c>
      <c r="L53" t="str">
        <f t="shared" si="4"/>
        <v>YES</v>
      </c>
    </row>
    <row r="54" spans="1:12" x14ac:dyDescent="0.2">
      <c r="A54">
        <v>2</v>
      </c>
      <c r="B54" t="s">
        <v>331</v>
      </c>
      <c r="C54">
        <v>1.3505100000000001</v>
      </c>
      <c r="D54">
        <v>6.2767799999999999E-2</v>
      </c>
      <c r="E54">
        <v>5.5292000000000003</v>
      </c>
      <c r="G54" s="4">
        <f t="shared" si="0"/>
        <v>316.79982408373479</v>
      </c>
      <c r="H54" s="4">
        <f t="shared" si="1"/>
        <v>3.5963300293212486</v>
      </c>
      <c r="J54" t="s">
        <v>202</v>
      </c>
      <c r="K54" t="str">
        <f t="shared" si="3"/>
        <v>LEFT</v>
      </c>
      <c r="L54" t="str">
        <f t="shared" si="4"/>
        <v>YES</v>
      </c>
    </row>
    <row r="55" spans="1:12" x14ac:dyDescent="0.2">
      <c r="A55">
        <v>2</v>
      </c>
      <c r="B55" t="s">
        <v>332</v>
      </c>
      <c r="C55">
        <v>1.3800699999999999</v>
      </c>
      <c r="D55">
        <v>-0.35275800000000002</v>
      </c>
      <c r="E55">
        <v>0</v>
      </c>
      <c r="G55" s="4">
        <f t="shared" si="0"/>
        <v>0</v>
      </c>
      <c r="H55" s="4">
        <f t="shared" si="1"/>
        <v>-20.211544589475896</v>
      </c>
      <c r="J55" t="str">
        <f t="shared" si="2"/>
        <v>RIGHT</v>
      </c>
      <c r="K55" t="str">
        <f t="shared" si="3"/>
        <v>RIGHT</v>
      </c>
      <c r="L55" t="str">
        <f t="shared" si="4"/>
        <v>YES</v>
      </c>
    </row>
    <row r="56" spans="1:12" x14ac:dyDescent="0.2">
      <c r="A56">
        <v>2</v>
      </c>
      <c r="B56" t="s">
        <v>333</v>
      </c>
      <c r="C56">
        <v>1.3834200000000001</v>
      </c>
      <c r="D56">
        <v>0.21465200000000001</v>
      </c>
      <c r="E56">
        <v>1.4325699999999999</v>
      </c>
      <c r="G56" s="4">
        <f t="shared" si="0"/>
        <v>82.080214857056333</v>
      </c>
      <c r="H56" s="4">
        <f t="shared" si="1"/>
        <v>12.298653664042147</v>
      </c>
      <c r="J56" t="str">
        <f t="shared" si="2"/>
        <v>LEFT</v>
      </c>
      <c r="K56" t="str">
        <f t="shared" si="3"/>
        <v>LEFT</v>
      </c>
      <c r="L56" t="str">
        <f t="shared" si="4"/>
        <v>YES</v>
      </c>
    </row>
    <row r="57" spans="1:12" x14ac:dyDescent="0.2">
      <c r="A57">
        <v>2</v>
      </c>
      <c r="B57" t="s">
        <v>334</v>
      </c>
      <c r="C57">
        <v>1.3985399999999999</v>
      </c>
      <c r="D57">
        <v>-2.2959199999999999E-2</v>
      </c>
      <c r="E57">
        <v>3.8201800000000001</v>
      </c>
      <c r="G57" s="4">
        <f t="shared" si="0"/>
        <v>218.88019098028684</v>
      </c>
      <c r="H57" s="4">
        <f t="shared" si="1"/>
        <v>-1.3154652609967596</v>
      </c>
      <c r="J57" t="str">
        <f t="shared" si="2"/>
        <v>LEFT</v>
      </c>
      <c r="K57" t="str">
        <f t="shared" si="3"/>
        <v>RIGHT</v>
      </c>
      <c r="L57" t="str">
        <f t="shared" si="4"/>
        <v>NO</v>
      </c>
    </row>
    <row r="58" spans="1:12" x14ac:dyDescent="0.2">
      <c r="A58">
        <v>2</v>
      </c>
      <c r="B58" t="s">
        <v>335</v>
      </c>
      <c r="C58">
        <v>1.5721799999999999</v>
      </c>
      <c r="D58">
        <v>-0.26211299999999998</v>
      </c>
      <c r="E58">
        <v>5.3532700000000002</v>
      </c>
      <c r="G58" s="4">
        <f t="shared" si="0"/>
        <v>306.71977759399823</v>
      </c>
      <c r="H58" s="4">
        <f t="shared" si="1"/>
        <v>-15.017968655512545</v>
      </c>
      <c r="J58" t="str">
        <f t="shared" si="2"/>
        <v>RIGHT</v>
      </c>
      <c r="K58" t="str">
        <f t="shared" si="3"/>
        <v>RIGHT</v>
      </c>
      <c r="L58" t="str">
        <f t="shared" si="4"/>
        <v>YES</v>
      </c>
    </row>
    <row r="59" spans="1:12" x14ac:dyDescent="0.2">
      <c r="A59">
        <v>2</v>
      </c>
      <c r="B59" t="s">
        <v>336</v>
      </c>
      <c r="C59">
        <v>1.61016</v>
      </c>
      <c r="D59">
        <v>-0.86841199999999996</v>
      </c>
      <c r="E59">
        <v>6.0067300000000001</v>
      </c>
      <c r="G59" s="4">
        <f>E59*180/PI()</f>
        <v>344.16027767461696</v>
      </c>
      <c r="H59" s="4">
        <f>D59*180/PI()</f>
        <v>-49.756342478514846</v>
      </c>
      <c r="J59" t="str">
        <f>IF(AND(G59&gt;60,G59&lt;240), "LEFT", "RIGHT")</f>
        <v>RIGHT</v>
      </c>
      <c r="K59" t="str">
        <f>IF(D59&gt;0, "LEFT", "RIGHT")</f>
        <v>RIGHT</v>
      </c>
      <c r="L59" t="str">
        <f>IF(K59=J59, "YES", "NO")</f>
        <v>YES</v>
      </c>
    </row>
    <row r="62" spans="1:12" x14ac:dyDescent="0.2">
      <c r="B62" s="1" t="s">
        <v>311</v>
      </c>
    </row>
    <row r="63" spans="1:12" x14ac:dyDescent="0.2">
      <c r="A63" s="1" t="s">
        <v>312</v>
      </c>
      <c r="B63" s="1" t="s">
        <v>236</v>
      </c>
      <c r="C63" s="1" t="s">
        <v>194</v>
      </c>
      <c r="D63" s="1" t="s">
        <v>237</v>
      </c>
      <c r="E63" s="1" t="s">
        <v>238</v>
      </c>
    </row>
    <row r="64" spans="1:12" x14ac:dyDescent="0.2">
      <c r="A64">
        <v>1</v>
      </c>
      <c r="B64" t="s">
        <v>239</v>
      </c>
      <c r="C64">
        <v>0.377913</v>
      </c>
      <c r="D64">
        <v>-0.377913</v>
      </c>
      <c r="E64">
        <v>2.4630100000000001</v>
      </c>
    </row>
    <row r="65" spans="1:5" x14ac:dyDescent="0.2">
      <c r="A65">
        <v>1</v>
      </c>
      <c r="B65" t="s">
        <v>240</v>
      </c>
      <c r="C65">
        <v>0.28773199999999999</v>
      </c>
      <c r="D65">
        <v>-0.28773199999999999</v>
      </c>
      <c r="E65">
        <v>3.44319</v>
      </c>
    </row>
    <row r="66" spans="1:5" x14ac:dyDescent="0.2">
      <c r="A66">
        <v>1</v>
      </c>
      <c r="B66" t="s">
        <v>241</v>
      </c>
      <c r="C66">
        <v>0.27758500000000003</v>
      </c>
      <c r="D66">
        <v>0.27758500000000003</v>
      </c>
      <c r="E66">
        <v>5.2276100000000003</v>
      </c>
    </row>
    <row r="67" spans="1:5" x14ac:dyDescent="0.2">
      <c r="A67">
        <v>1</v>
      </c>
      <c r="B67" t="s">
        <v>242</v>
      </c>
      <c r="C67">
        <v>0.27296599999999999</v>
      </c>
      <c r="D67">
        <v>0.27296599999999999</v>
      </c>
      <c r="E67">
        <v>0.427257</v>
      </c>
    </row>
    <row r="68" spans="1:5" x14ac:dyDescent="0.2">
      <c r="A68">
        <v>1</v>
      </c>
      <c r="B68" t="s">
        <v>243</v>
      </c>
      <c r="C68">
        <v>0.27271800000000002</v>
      </c>
      <c r="D68">
        <v>0.27271800000000002</v>
      </c>
      <c r="E68">
        <v>1.25664</v>
      </c>
    </row>
    <row r="69" spans="1:5" x14ac:dyDescent="0.2">
      <c r="A69">
        <v>1</v>
      </c>
      <c r="B69" t="s">
        <v>244</v>
      </c>
      <c r="C69">
        <v>0.226102</v>
      </c>
      <c r="D69">
        <v>0.226102</v>
      </c>
      <c r="E69">
        <v>0.100531</v>
      </c>
    </row>
    <row r="70" spans="1:5" x14ac:dyDescent="0.2">
      <c r="A70">
        <v>1</v>
      </c>
      <c r="B70" t="s">
        <v>245</v>
      </c>
      <c r="C70">
        <v>0.20757900000000001</v>
      </c>
      <c r="D70">
        <v>-0.20757900000000001</v>
      </c>
      <c r="E70">
        <v>4.3479599999999996</v>
      </c>
    </row>
    <row r="71" spans="1:5" x14ac:dyDescent="0.2">
      <c r="A71">
        <v>1</v>
      </c>
      <c r="B71" t="s">
        <v>246</v>
      </c>
      <c r="C71">
        <v>0.19094900000000001</v>
      </c>
      <c r="D71">
        <v>0.19094900000000001</v>
      </c>
      <c r="E71">
        <v>4.87575</v>
      </c>
    </row>
    <row r="72" spans="1:5" x14ac:dyDescent="0.2">
      <c r="A72">
        <v>1</v>
      </c>
      <c r="B72" t="s">
        <v>247</v>
      </c>
      <c r="C72">
        <v>0.17616200000000001</v>
      </c>
      <c r="D72">
        <v>0.17616200000000001</v>
      </c>
      <c r="E72">
        <v>0.32672600000000002</v>
      </c>
    </row>
    <row r="73" spans="1:5" x14ac:dyDescent="0.2">
      <c r="A73">
        <v>1</v>
      </c>
      <c r="B73" t="s">
        <v>248</v>
      </c>
      <c r="C73">
        <v>0.174871</v>
      </c>
      <c r="D73">
        <v>-0.174871</v>
      </c>
      <c r="E73">
        <v>1.7341599999999999</v>
      </c>
    </row>
    <row r="74" spans="1:5" x14ac:dyDescent="0.2">
      <c r="A74">
        <v>1</v>
      </c>
      <c r="B74" t="s">
        <v>249</v>
      </c>
      <c r="C74">
        <v>0.173789</v>
      </c>
      <c r="D74">
        <v>-0.173789</v>
      </c>
      <c r="E74">
        <v>5.3281400000000003</v>
      </c>
    </row>
    <row r="75" spans="1:5" x14ac:dyDescent="0.2">
      <c r="A75">
        <v>1</v>
      </c>
      <c r="B75" t="s">
        <v>250</v>
      </c>
      <c r="C75">
        <v>0.15482299999999999</v>
      </c>
      <c r="D75">
        <v>-0.15482299999999999</v>
      </c>
      <c r="E75">
        <v>0.301593</v>
      </c>
    </row>
    <row r="76" spans="1:5" x14ac:dyDescent="0.2">
      <c r="A76">
        <v>1</v>
      </c>
      <c r="B76" t="s">
        <v>251</v>
      </c>
      <c r="C76">
        <v>0.152395</v>
      </c>
      <c r="D76">
        <v>0.152395</v>
      </c>
      <c r="E76">
        <v>4.8254900000000003</v>
      </c>
    </row>
    <row r="77" spans="1:5" x14ac:dyDescent="0.2">
      <c r="A77">
        <v>1</v>
      </c>
      <c r="B77" t="s">
        <v>252</v>
      </c>
      <c r="C77">
        <v>0.147594</v>
      </c>
      <c r="D77">
        <v>0.147594</v>
      </c>
      <c r="E77">
        <v>0.301593</v>
      </c>
    </row>
    <row r="78" spans="1:5" x14ac:dyDescent="0.2">
      <c r="A78">
        <v>1</v>
      </c>
      <c r="B78" t="s">
        <v>253</v>
      </c>
      <c r="C78">
        <v>0.13986100000000001</v>
      </c>
      <c r="D78">
        <v>-0.13986100000000001</v>
      </c>
      <c r="E78">
        <v>3.51858</v>
      </c>
    </row>
    <row r="79" spans="1:5" x14ac:dyDescent="0.2">
      <c r="A79">
        <v>1</v>
      </c>
      <c r="B79" t="s">
        <v>254</v>
      </c>
      <c r="C79">
        <v>0.135745</v>
      </c>
      <c r="D79">
        <v>-0.135745</v>
      </c>
      <c r="E79">
        <v>5.2527400000000002</v>
      </c>
    </row>
    <row r="80" spans="1:5" x14ac:dyDescent="0.2">
      <c r="A80">
        <v>1</v>
      </c>
      <c r="B80" t="s">
        <v>255</v>
      </c>
      <c r="C80">
        <v>0.133634</v>
      </c>
      <c r="D80">
        <v>-0.133634</v>
      </c>
      <c r="E80">
        <v>5.2778799999999997</v>
      </c>
    </row>
    <row r="81" spans="1:5" x14ac:dyDescent="0.2">
      <c r="A81">
        <v>1</v>
      </c>
      <c r="B81" t="s">
        <v>256</v>
      </c>
      <c r="C81">
        <v>0.13192499999999999</v>
      </c>
      <c r="D81">
        <v>0.13192499999999999</v>
      </c>
      <c r="E81">
        <v>1.3320399999999999</v>
      </c>
    </row>
    <row r="82" spans="1:5" x14ac:dyDescent="0.2">
      <c r="A82">
        <v>1</v>
      </c>
      <c r="B82" t="s">
        <v>257</v>
      </c>
      <c r="C82">
        <v>0.13145299999999999</v>
      </c>
      <c r="D82">
        <v>0.13145299999999999</v>
      </c>
      <c r="E82">
        <v>3.8704399999999999</v>
      </c>
    </row>
    <row r="83" spans="1:5" x14ac:dyDescent="0.2">
      <c r="A83">
        <v>1</v>
      </c>
      <c r="B83" t="s">
        <v>258</v>
      </c>
      <c r="C83">
        <v>0.112752</v>
      </c>
      <c r="D83">
        <v>0.112752</v>
      </c>
      <c r="E83">
        <v>1.55823</v>
      </c>
    </row>
    <row r="84" spans="1:5" x14ac:dyDescent="0.2">
      <c r="A84">
        <v>1</v>
      </c>
      <c r="B84" t="s">
        <v>259</v>
      </c>
      <c r="C84">
        <v>0.111349</v>
      </c>
      <c r="D84">
        <v>0.111349</v>
      </c>
      <c r="E84">
        <v>0.15079600000000001</v>
      </c>
    </row>
    <row r="85" spans="1:5" x14ac:dyDescent="0.2">
      <c r="A85">
        <v>1</v>
      </c>
      <c r="B85" t="s">
        <v>260</v>
      </c>
      <c r="C85">
        <v>0.10370699999999999</v>
      </c>
      <c r="D85">
        <v>0.10370699999999999</v>
      </c>
      <c r="E85">
        <v>5.73027</v>
      </c>
    </row>
    <row r="86" spans="1:5" x14ac:dyDescent="0.2">
      <c r="A86">
        <v>1</v>
      </c>
      <c r="B86" t="s">
        <v>261</v>
      </c>
      <c r="C86">
        <v>9.6628199999999997E-2</v>
      </c>
      <c r="D86">
        <v>-9.6628199999999997E-2</v>
      </c>
      <c r="E86">
        <v>4.9008799999999999</v>
      </c>
    </row>
    <row r="87" spans="1:5" x14ac:dyDescent="0.2">
      <c r="A87">
        <v>1</v>
      </c>
      <c r="B87" t="s">
        <v>262</v>
      </c>
      <c r="C87">
        <v>9.1669799999999996E-2</v>
      </c>
      <c r="D87">
        <v>-9.1669799999999996E-2</v>
      </c>
      <c r="E87">
        <v>5.0265500000000003</v>
      </c>
    </row>
    <row r="88" spans="1:5" x14ac:dyDescent="0.2">
      <c r="A88">
        <v>1</v>
      </c>
      <c r="B88" t="s">
        <v>263</v>
      </c>
      <c r="C88">
        <v>8.9866600000000005E-2</v>
      </c>
      <c r="D88">
        <v>8.9866600000000005E-2</v>
      </c>
      <c r="E88">
        <v>1.6085</v>
      </c>
    </row>
    <row r="89" spans="1:5" x14ac:dyDescent="0.2">
      <c r="A89">
        <v>1</v>
      </c>
      <c r="B89" t="s">
        <v>264</v>
      </c>
      <c r="C89">
        <v>8.8538800000000001E-2</v>
      </c>
      <c r="D89">
        <v>8.8538800000000001E-2</v>
      </c>
      <c r="E89">
        <v>4.6998199999999999</v>
      </c>
    </row>
    <row r="90" spans="1:5" x14ac:dyDescent="0.2">
      <c r="A90">
        <v>1</v>
      </c>
      <c r="B90" t="s">
        <v>265</v>
      </c>
      <c r="C90">
        <v>8.7849499999999997E-2</v>
      </c>
      <c r="D90">
        <v>8.7849499999999997E-2</v>
      </c>
      <c r="E90">
        <v>5.5292000000000003</v>
      </c>
    </row>
    <row r="91" spans="1:5" x14ac:dyDescent="0.2">
      <c r="A91">
        <v>1</v>
      </c>
      <c r="B91" t="s">
        <v>266</v>
      </c>
      <c r="C91">
        <v>8.55379E-2</v>
      </c>
      <c r="D91">
        <v>8.55379E-2</v>
      </c>
      <c r="E91">
        <v>1.50796</v>
      </c>
    </row>
    <row r="92" spans="1:5" x14ac:dyDescent="0.2">
      <c r="A92">
        <v>1</v>
      </c>
      <c r="B92" t="s">
        <v>267</v>
      </c>
      <c r="C92">
        <v>8.23792E-2</v>
      </c>
      <c r="D92">
        <v>-8.23792E-2</v>
      </c>
      <c r="E92">
        <v>2.38761</v>
      </c>
    </row>
    <row r="93" spans="1:5" x14ac:dyDescent="0.2">
      <c r="A93">
        <v>1</v>
      </c>
      <c r="B93" t="s">
        <v>268</v>
      </c>
      <c r="C93">
        <v>7.8137300000000007E-2</v>
      </c>
      <c r="D93">
        <v>7.8137300000000007E-2</v>
      </c>
      <c r="E93">
        <v>0.15079600000000001</v>
      </c>
    </row>
    <row r="94" spans="1:5" x14ac:dyDescent="0.2">
      <c r="A94">
        <v>1</v>
      </c>
      <c r="B94" t="s">
        <v>269</v>
      </c>
      <c r="C94">
        <v>7.4778200000000003E-2</v>
      </c>
      <c r="D94">
        <v>7.4778200000000003E-2</v>
      </c>
      <c r="E94">
        <v>5.1019500000000004</v>
      </c>
    </row>
    <row r="95" spans="1:5" x14ac:dyDescent="0.2">
      <c r="A95">
        <v>1</v>
      </c>
      <c r="B95" t="s">
        <v>270</v>
      </c>
      <c r="C95">
        <v>7.4513700000000002E-2</v>
      </c>
      <c r="D95">
        <v>-7.4513700000000002E-2</v>
      </c>
      <c r="E95">
        <v>5.68</v>
      </c>
    </row>
    <row r="96" spans="1:5" x14ac:dyDescent="0.2">
      <c r="A96">
        <v>1</v>
      </c>
      <c r="B96" t="s">
        <v>271</v>
      </c>
      <c r="C96">
        <v>7.3852399999999999E-2</v>
      </c>
      <c r="D96">
        <v>7.3852399999999999E-2</v>
      </c>
      <c r="E96">
        <v>5.2527400000000002</v>
      </c>
    </row>
    <row r="97" spans="1:5" x14ac:dyDescent="0.2">
      <c r="A97">
        <v>1</v>
      </c>
      <c r="B97" t="s">
        <v>272</v>
      </c>
      <c r="C97">
        <v>7.24022E-2</v>
      </c>
      <c r="D97">
        <v>-7.24022E-2</v>
      </c>
      <c r="E97">
        <v>1.0807100000000001</v>
      </c>
    </row>
    <row r="98" spans="1:5" x14ac:dyDescent="0.2">
      <c r="A98">
        <v>1</v>
      </c>
      <c r="B98" t="s">
        <v>273</v>
      </c>
      <c r="C98">
        <v>7.1759900000000001E-2</v>
      </c>
      <c r="D98">
        <v>-7.1759900000000001E-2</v>
      </c>
      <c r="E98">
        <v>0.50265499999999996</v>
      </c>
    </row>
    <row r="99" spans="1:5" x14ac:dyDescent="0.2">
      <c r="A99">
        <v>1</v>
      </c>
      <c r="B99" t="s">
        <v>274</v>
      </c>
      <c r="C99">
        <v>7.0407600000000001E-2</v>
      </c>
      <c r="D99">
        <v>7.0407600000000001E-2</v>
      </c>
      <c r="E99">
        <v>5.6045999999999996</v>
      </c>
    </row>
    <row r="100" spans="1:5" x14ac:dyDescent="0.2">
      <c r="A100">
        <v>1</v>
      </c>
      <c r="B100" t="s">
        <v>275</v>
      </c>
      <c r="C100">
        <v>7.0331500000000005E-2</v>
      </c>
      <c r="D100">
        <v>7.0331500000000005E-2</v>
      </c>
      <c r="E100">
        <v>4.77522</v>
      </c>
    </row>
    <row r="101" spans="1:5" x14ac:dyDescent="0.2">
      <c r="A101">
        <v>1</v>
      </c>
      <c r="B101" t="s">
        <v>276</v>
      </c>
      <c r="C101">
        <v>6.7144499999999996E-2</v>
      </c>
      <c r="D101">
        <v>6.7144499999999996E-2</v>
      </c>
      <c r="E101">
        <v>3.5939800000000002</v>
      </c>
    </row>
    <row r="102" spans="1:5" x14ac:dyDescent="0.2">
      <c r="A102">
        <v>1</v>
      </c>
      <c r="B102" t="s">
        <v>277</v>
      </c>
      <c r="C102">
        <v>6.4946199999999996E-2</v>
      </c>
      <c r="D102">
        <v>-6.4946199999999996E-2</v>
      </c>
      <c r="E102">
        <v>0.125664</v>
      </c>
    </row>
    <row r="103" spans="1:5" x14ac:dyDescent="0.2">
      <c r="A103">
        <v>1</v>
      </c>
      <c r="B103" t="s">
        <v>278</v>
      </c>
      <c r="C103">
        <v>6.3736600000000004E-2</v>
      </c>
      <c r="D103">
        <v>6.3736600000000004E-2</v>
      </c>
      <c r="E103">
        <v>0.52778800000000003</v>
      </c>
    </row>
    <row r="104" spans="1:5" x14ac:dyDescent="0.2">
      <c r="A104">
        <v>1</v>
      </c>
      <c r="B104" t="s">
        <v>279</v>
      </c>
      <c r="C104">
        <v>6.2054699999999997E-2</v>
      </c>
      <c r="D104">
        <v>6.2054699999999997E-2</v>
      </c>
      <c r="E104">
        <v>5.5292000000000003</v>
      </c>
    </row>
    <row r="105" spans="1:5" x14ac:dyDescent="0.2">
      <c r="A105">
        <v>1</v>
      </c>
      <c r="B105" t="s">
        <v>280</v>
      </c>
      <c r="C105">
        <v>6.1276600000000001E-2</v>
      </c>
      <c r="D105">
        <v>6.1276600000000001E-2</v>
      </c>
      <c r="E105">
        <v>6.2077900000000001</v>
      </c>
    </row>
    <row r="106" spans="1:5" x14ac:dyDescent="0.2">
      <c r="A106">
        <v>1</v>
      </c>
      <c r="B106" t="s">
        <v>281</v>
      </c>
      <c r="C106">
        <v>5.92139E-2</v>
      </c>
      <c r="D106">
        <v>5.92139E-2</v>
      </c>
      <c r="E106">
        <v>6.2077900000000001</v>
      </c>
    </row>
    <row r="107" spans="1:5" x14ac:dyDescent="0.2">
      <c r="A107">
        <v>1</v>
      </c>
      <c r="B107" t="s">
        <v>282</v>
      </c>
      <c r="C107">
        <v>5.6274499999999998E-2</v>
      </c>
      <c r="D107">
        <v>5.6274499999999998E-2</v>
      </c>
      <c r="E107">
        <v>5.9564599999999999</v>
      </c>
    </row>
    <row r="108" spans="1:5" x14ac:dyDescent="0.2">
      <c r="A108">
        <v>1</v>
      </c>
      <c r="B108" t="s">
        <v>283</v>
      </c>
      <c r="C108">
        <v>5.50053E-2</v>
      </c>
      <c r="D108">
        <v>5.50053E-2</v>
      </c>
      <c r="E108">
        <v>0.62831899999999996</v>
      </c>
    </row>
    <row r="109" spans="1:5" x14ac:dyDescent="0.2">
      <c r="A109">
        <v>1</v>
      </c>
      <c r="B109" t="s">
        <v>284</v>
      </c>
      <c r="C109">
        <v>5.0495600000000002E-2</v>
      </c>
      <c r="D109">
        <v>5.0495600000000002E-2</v>
      </c>
      <c r="E109">
        <v>0.125664</v>
      </c>
    </row>
    <row r="110" spans="1:5" x14ac:dyDescent="0.2">
      <c r="A110">
        <v>1</v>
      </c>
      <c r="B110" t="s">
        <v>285</v>
      </c>
      <c r="C110">
        <v>4.6162000000000002E-2</v>
      </c>
      <c r="D110">
        <v>4.6162000000000002E-2</v>
      </c>
      <c r="E110">
        <v>0.351858</v>
      </c>
    </row>
    <row r="111" spans="1:5" x14ac:dyDescent="0.2">
      <c r="A111">
        <v>1</v>
      </c>
      <c r="B111" t="s">
        <v>286</v>
      </c>
      <c r="C111">
        <v>4.5312400000000003E-2</v>
      </c>
      <c r="D111">
        <v>4.5312400000000003E-2</v>
      </c>
      <c r="E111">
        <v>0.427257</v>
      </c>
    </row>
    <row r="112" spans="1:5" x14ac:dyDescent="0.2">
      <c r="A112">
        <v>1</v>
      </c>
      <c r="B112" t="s">
        <v>287</v>
      </c>
      <c r="C112">
        <v>4.2563700000000003E-2</v>
      </c>
      <c r="D112">
        <v>-4.2563700000000003E-2</v>
      </c>
      <c r="E112">
        <v>0.45238899999999999</v>
      </c>
    </row>
    <row r="113" spans="1:5" x14ac:dyDescent="0.2">
      <c r="A113">
        <v>1</v>
      </c>
      <c r="B113" t="s">
        <v>288</v>
      </c>
      <c r="C113">
        <v>4.1942E-2</v>
      </c>
      <c r="D113">
        <v>-4.1942E-2</v>
      </c>
      <c r="E113">
        <v>5.8056599999999996</v>
      </c>
    </row>
    <row r="114" spans="1:5" x14ac:dyDescent="0.2">
      <c r="A114">
        <v>1</v>
      </c>
      <c r="B114" t="s">
        <v>289</v>
      </c>
      <c r="C114">
        <v>4.09179E-2</v>
      </c>
      <c r="D114">
        <v>4.09179E-2</v>
      </c>
      <c r="E114">
        <v>4.1468999999999996</v>
      </c>
    </row>
    <row r="115" spans="1:5" x14ac:dyDescent="0.2">
      <c r="A115">
        <v>1</v>
      </c>
      <c r="B115" t="s">
        <v>290</v>
      </c>
      <c r="C115">
        <v>4.0151899999999997E-2</v>
      </c>
      <c r="D115">
        <v>4.0151899999999997E-2</v>
      </c>
      <c r="E115">
        <v>6.2077900000000001</v>
      </c>
    </row>
    <row r="116" spans="1:5" x14ac:dyDescent="0.2">
      <c r="A116">
        <v>1</v>
      </c>
      <c r="B116" t="s">
        <v>291</v>
      </c>
      <c r="C116">
        <v>3.8034600000000002E-2</v>
      </c>
      <c r="D116">
        <v>-3.8034600000000002E-2</v>
      </c>
      <c r="E116">
        <v>6.1072600000000001</v>
      </c>
    </row>
    <row r="117" spans="1:5" x14ac:dyDescent="0.2">
      <c r="A117">
        <v>1</v>
      </c>
      <c r="B117" t="s">
        <v>292</v>
      </c>
      <c r="C117">
        <v>3.78222E-2</v>
      </c>
      <c r="D117">
        <v>-3.78222E-2</v>
      </c>
      <c r="E117">
        <v>4.1971699999999998</v>
      </c>
    </row>
    <row r="118" spans="1:5" x14ac:dyDescent="0.2">
      <c r="A118">
        <v>1</v>
      </c>
      <c r="B118" t="s">
        <v>293</v>
      </c>
      <c r="C118">
        <v>3.5438200000000003E-2</v>
      </c>
      <c r="D118">
        <v>-3.5438200000000003E-2</v>
      </c>
      <c r="E118">
        <v>1.65876</v>
      </c>
    </row>
    <row r="119" spans="1:5" x14ac:dyDescent="0.2">
      <c r="A119">
        <v>1</v>
      </c>
      <c r="B119" t="s">
        <v>294</v>
      </c>
      <c r="C119">
        <v>3.4757299999999998E-2</v>
      </c>
      <c r="D119">
        <v>3.4757299999999998E-2</v>
      </c>
      <c r="E119">
        <v>1.0807100000000001</v>
      </c>
    </row>
    <row r="120" spans="1:5" x14ac:dyDescent="0.2">
      <c r="A120">
        <v>1</v>
      </c>
      <c r="B120" t="s">
        <v>295</v>
      </c>
      <c r="C120">
        <v>3.3916399999999999E-2</v>
      </c>
      <c r="D120">
        <v>3.3916399999999999E-2</v>
      </c>
      <c r="E120">
        <v>4.9008799999999999</v>
      </c>
    </row>
    <row r="121" spans="1:5" x14ac:dyDescent="0.2">
      <c r="A121">
        <v>1</v>
      </c>
      <c r="B121" t="s">
        <v>296</v>
      </c>
      <c r="C121">
        <v>3.06863E-2</v>
      </c>
      <c r="D121">
        <v>-3.06863E-2</v>
      </c>
      <c r="E121">
        <v>5.73027</v>
      </c>
    </row>
    <row r="122" spans="1:5" x14ac:dyDescent="0.2">
      <c r="A122">
        <v>1</v>
      </c>
      <c r="B122" t="s">
        <v>297</v>
      </c>
      <c r="C122">
        <v>3.01067E-2</v>
      </c>
      <c r="D122">
        <v>3.01067E-2</v>
      </c>
      <c r="E122">
        <v>6.0569899999999999</v>
      </c>
    </row>
    <row r="123" spans="1:5" x14ac:dyDescent="0.2">
      <c r="A123">
        <v>1</v>
      </c>
      <c r="B123" t="s">
        <v>298</v>
      </c>
      <c r="C123">
        <v>2.9596899999999999E-2</v>
      </c>
      <c r="D123">
        <v>2.9596899999999999E-2</v>
      </c>
      <c r="E123">
        <v>6.1072600000000001</v>
      </c>
    </row>
    <row r="124" spans="1:5" x14ac:dyDescent="0.2">
      <c r="A124">
        <v>1</v>
      </c>
      <c r="B124" t="s">
        <v>299</v>
      </c>
      <c r="C124">
        <v>2.6994199999999999E-2</v>
      </c>
      <c r="D124">
        <v>-2.6994199999999999E-2</v>
      </c>
      <c r="E124">
        <v>5.5040699999999996</v>
      </c>
    </row>
    <row r="125" spans="1:5" x14ac:dyDescent="0.2">
      <c r="A125">
        <v>1</v>
      </c>
      <c r="B125" t="s">
        <v>300</v>
      </c>
      <c r="C125">
        <v>2.2471499999999998E-2</v>
      </c>
      <c r="D125">
        <v>-2.2471499999999998E-2</v>
      </c>
      <c r="E125">
        <v>4.2222999999999997</v>
      </c>
    </row>
    <row r="126" spans="1:5" x14ac:dyDescent="0.2">
      <c r="A126">
        <v>1</v>
      </c>
      <c r="B126" t="s">
        <v>301</v>
      </c>
      <c r="C126">
        <v>2.1957500000000001E-2</v>
      </c>
      <c r="D126">
        <v>2.1957500000000001E-2</v>
      </c>
      <c r="E126">
        <v>0.15079600000000001</v>
      </c>
    </row>
    <row r="127" spans="1:5" x14ac:dyDescent="0.2">
      <c r="A127">
        <v>1</v>
      </c>
      <c r="B127" t="s">
        <v>302</v>
      </c>
      <c r="C127">
        <v>2.0233899999999999E-2</v>
      </c>
      <c r="D127">
        <v>2.0233899999999999E-2</v>
      </c>
      <c r="E127">
        <v>6.2077900000000001</v>
      </c>
    </row>
    <row r="128" spans="1:5" x14ac:dyDescent="0.2">
      <c r="A128">
        <v>1</v>
      </c>
      <c r="B128" t="s">
        <v>303</v>
      </c>
      <c r="C128">
        <v>1.9926900000000001E-2</v>
      </c>
      <c r="D128">
        <v>1.9926900000000001E-2</v>
      </c>
      <c r="E128">
        <v>3.1918600000000001</v>
      </c>
    </row>
    <row r="129" spans="1:5" x14ac:dyDescent="0.2">
      <c r="A129">
        <v>1</v>
      </c>
      <c r="B129" t="s">
        <v>304</v>
      </c>
      <c r="C129">
        <v>1.6746899999999999E-2</v>
      </c>
      <c r="D129">
        <v>-1.6746899999999999E-2</v>
      </c>
      <c r="E129">
        <v>6.0067300000000001</v>
      </c>
    </row>
    <row r="130" spans="1:5" x14ac:dyDescent="0.2">
      <c r="A130">
        <v>1</v>
      </c>
      <c r="B130" t="s">
        <v>305</v>
      </c>
      <c r="C130">
        <v>1.3396E-2</v>
      </c>
      <c r="D130">
        <v>1.3396E-2</v>
      </c>
      <c r="E130">
        <v>5.9564599999999999</v>
      </c>
    </row>
    <row r="131" spans="1:5" x14ac:dyDescent="0.2">
      <c r="A131">
        <v>1</v>
      </c>
      <c r="B131" t="s">
        <v>306</v>
      </c>
      <c r="C131">
        <v>7.7224700000000004E-3</v>
      </c>
      <c r="D131">
        <v>7.7224700000000004E-3</v>
      </c>
      <c r="E131">
        <v>4.87575</v>
      </c>
    </row>
    <row r="132" spans="1:5" x14ac:dyDescent="0.2">
      <c r="A132">
        <v>1</v>
      </c>
      <c r="B132" t="s">
        <v>307</v>
      </c>
      <c r="C132">
        <v>6.0696400000000003E-3</v>
      </c>
      <c r="D132">
        <v>-6.0696400000000003E-3</v>
      </c>
      <c r="E132">
        <v>7.5398199999999999E-2</v>
      </c>
    </row>
    <row r="133" spans="1:5" x14ac:dyDescent="0.2">
      <c r="A133">
        <v>1</v>
      </c>
      <c r="B133" t="s">
        <v>308</v>
      </c>
      <c r="C133">
        <v>8.91783E-5</v>
      </c>
      <c r="D133">
        <v>-8.91783E-5</v>
      </c>
      <c r="E133">
        <v>0.125664</v>
      </c>
    </row>
    <row r="134" spans="1:5" x14ac:dyDescent="0.2">
      <c r="A134">
        <v>1</v>
      </c>
      <c r="B134" t="s">
        <v>309</v>
      </c>
      <c r="C134">
        <v>0</v>
      </c>
      <c r="D134">
        <v>0</v>
      </c>
      <c r="E134">
        <v>6.1575199999999999</v>
      </c>
    </row>
    <row r="135" spans="1:5" x14ac:dyDescent="0.2">
      <c r="A135">
        <v>1</v>
      </c>
      <c r="B135" t="s">
        <v>310</v>
      </c>
      <c r="C135">
        <v>0</v>
      </c>
      <c r="D135">
        <v>0</v>
      </c>
      <c r="E135">
        <v>5.5040699999999996</v>
      </c>
    </row>
    <row r="136" spans="1:5" x14ac:dyDescent="0.2">
      <c r="A136">
        <v>2</v>
      </c>
      <c r="B136" t="s">
        <v>337</v>
      </c>
      <c r="C136">
        <v>1.5731900000000001</v>
      </c>
      <c r="D136">
        <v>-3.4363499999999998E-2</v>
      </c>
      <c r="E136">
        <v>5.9061899999999996</v>
      </c>
    </row>
    <row r="137" spans="1:5" x14ac:dyDescent="0.2">
      <c r="A137">
        <v>2</v>
      </c>
      <c r="B137" t="s">
        <v>338</v>
      </c>
      <c r="C137">
        <v>2.48402E-2</v>
      </c>
      <c r="D137">
        <v>2.7255499999999998E-2</v>
      </c>
      <c r="E137">
        <v>4.4987599999999999</v>
      </c>
    </row>
    <row r="138" spans="1:5" x14ac:dyDescent="0.2">
      <c r="A138">
        <v>2</v>
      </c>
      <c r="B138" t="s">
        <v>339</v>
      </c>
      <c r="C138">
        <v>2.6527700000000001E-2</v>
      </c>
      <c r="D138">
        <v>3.1547599999999999E-3</v>
      </c>
      <c r="E138">
        <v>5.8056599999999996</v>
      </c>
    </row>
    <row r="139" spans="1:5" x14ac:dyDescent="0.2">
      <c r="A139">
        <v>2</v>
      </c>
      <c r="B139" t="s">
        <v>340</v>
      </c>
      <c r="C139">
        <v>2.6586200000000001E-2</v>
      </c>
      <c r="D139">
        <v>-1.72496E-2</v>
      </c>
      <c r="E139">
        <v>4.6495600000000001</v>
      </c>
    </row>
    <row r="140" spans="1:5" x14ac:dyDescent="0.2">
      <c r="A140">
        <v>2</v>
      </c>
      <c r="B140" t="s">
        <v>341</v>
      </c>
      <c r="C140">
        <v>3.1583800000000002E-2</v>
      </c>
      <c r="D140">
        <v>3.1044499999999999E-3</v>
      </c>
      <c r="E140">
        <v>5.8810599999999997</v>
      </c>
    </row>
    <row r="141" spans="1:5" x14ac:dyDescent="0.2">
      <c r="A141">
        <v>2</v>
      </c>
      <c r="B141" t="s">
        <v>342</v>
      </c>
      <c r="C141">
        <v>3.35938E-2</v>
      </c>
      <c r="D141">
        <v>9.1849700000000006E-3</v>
      </c>
      <c r="E141">
        <v>6.1575199999999999</v>
      </c>
    </row>
    <row r="142" spans="1:5" x14ac:dyDescent="0.2">
      <c r="A142">
        <v>2</v>
      </c>
      <c r="B142" t="s">
        <v>343</v>
      </c>
      <c r="C142">
        <v>3.5950099999999999E-2</v>
      </c>
      <c r="D142">
        <v>1.5317799999999999E-2</v>
      </c>
      <c r="E142">
        <v>5.9815899999999997</v>
      </c>
    </row>
    <row r="143" spans="1:5" x14ac:dyDescent="0.2">
      <c r="A143">
        <v>2</v>
      </c>
      <c r="B143" t="s">
        <v>344</v>
      </c>
      <c r="C143">
        <v>3.7145299999999999E-2</v>
      </c>
      <c r="D143">
        <v>8.2217799999999997E-3</v>
      </c>
      <c r="E143">
        <v>5.7051299999999996</v>
      </c>
    </row>
    <row r="144" spans="1:5" x14ac:dyDescent="0.2">
      <c r="A144">
        <v>2</v>
      </c>
      <c r="B144" t="s">
        <v>345</v>
      </c>
      <c r="C144">
        <v>3.76453E-2</v>
      </c>
      <c r="D144">
        <v>9.6340000000000002E-3</v>
      </c>
      <c r="E144">
        <v>0.32672600000000002</v>
      </c>
    </row>
    <row r="145" spans="1:5" x14ac:dyDescent="0.2">
      <c r="A145">
        <v>2</v>
      </c>
      <c r="B145" t="s">
        <v>346</v>
      </c>
      <c r="C145">
        <v>4.0580900000000003E-2</v>
      </c>
      <c r="D145">
        <v>2.77617E-2</v>
      </c>
      <c r="E145">
        <v>1.75929</v>
      </c>
    </row>
    <row r="146" spans="1:5" x14ac:dyDescent="0.2">
      <c r="A146">
        <v>2</v>
      </c>
      <c r="B146" t="s">
        <v>347</v>
      </c>
      <c r="C146">
        <v>4.1968600000000002E-2</v>
      </c>
      <c r="D146">
        <v>5.6043200000000001E-2</v>
      </c>
      <c r="E146">
        <v>0.50265499999999996</v>
      </c>
    </row>
    <row r="147" spans="1:5" x14ac:dyDescent="0.2">
      <c r="A147">
        <v>2</v>
      </c>
      <c r="B147" t="s">
        <v>348</v>
      </c>
      <c r="C147">
        <v>4.3115399999999998E-2</v>
      </c>
      <c r="D147">
        <v>6.9167699999999999E-2</v>
      </c>
      <c r="E147">
        <v>5.8810599999999997</v>
      </c>
    </row>
    <row r="148" spans="1:5" x14ac:dyDescent="0.2">
      <c r="A148">
        <v>2</v>
      </c>
      <c r="B148" t="s">
        <v>349</v>
      </c>
      <c r="C148">
        <v>4.3834499999999998E-2</v>
      </c>
      <c r="D148">
        <v>2.32213E-2</v>
      </c>
      <c r="E148">
        <v>2.5132700000000001E-2</v>
      </c>
    </row>
    <row r="149" spans="1:5" x14ac:dyDescent="0.2">
      <c r="A149">
        <v>2</v>
      </c>
      <c r="B149" t="s">
        <v>350</v>
      </c>
      <c r="C149">
        <v>4.5462299999999997E-2</v>
      </c>
      <c r="D149">
        <v>4.07024E-2</v>
      </c>
      <c r="E149">
        <v>2.6640700000000002</v>
      </c>
    </row>
    <row r="150" spans="1:5" x14ac:dyDescent="0.2">
      <c r="A150">
        <v>2</v>
      </c>
      <c r="B150" t="s">
        <v>351</v>
      </c>
      <c r="C150">
        <v>4.6636700000000003E-2</v>
      </c>
      <c r="D150">
        <v>-3.5695299999999999E-2</v>
      </c>
      <c r="E150">
        <v>5.4538000000000002</v>
      </c>
    </row>
    <row r="151" spans="1:5" x14ac:dyDescent="0.2">
      <c r="A151">
        <v>2</v>
      </c>
      <c r="B151" t="s">
        <v>352</v>
      </c>
      <c r="C151">
        <v>4.9118599999999998E-2</v>
      </c>
      <c r="D151">
        <v>2.3354300000000001E-2</v>
      </c>
      <c r="E151">
        <v>1.6838900000000001</v>
      </c>
    </row>
    <row r="152" spans="1:5" x14ac:dyDescent="0.2">
      <c r="A152">
        <v>2</v>
      </c>
      <c r="B152" t="s">
        <v>353</v>
      </c>
      <c r="C152">
        <v>5.3679299999999999E-2</v>
      </c>
      <c r="D152">
        <v>6.0917899999999997E-2</v>
      </c>
      <c r="E152">
        <v>5.8056599999999996</v>
      </c>
    </row>
    <row r="153" spans="1:5" x14ac:dyDescent="0.2">
      <c r="A153">
        <v>2</v>
      </c>
      <c r="B153" t="s">
        <v>354</v>
      </c>
      <c r="C153">
        <v>5.6394699999999999E-2</v>
      </c>
      <c r="D153">
        <v>2.2613299999999999E-2</v>
      </c>
      <c r="E153">
        <v>0.175929</v>
      </c>
    </row>
    <row r="154" spans="1:5" x14ac:dyDescent="0.2">
      <c r="A154">
        <v>2</v>
      </c>
      <c r="B154" t="s">
        <v>355</v>
      </c>
      <c r="C154">
        <v>5.6477399999999997E-2</v>
      </c>
      <c r="D154">
        <v>2.5953400000000001E-2</v>
      </c>
      <c r="E154">
        <v>0.427257</v>
      </c>
    </row>
    <row r="155" spans="1:5" x14ac:dyDescent="0.2">
      <c r="A155">
        <v>2</v>
      </c>
      <c r="B155" t="s">
        <v>356</v>
      </c>
      <c r="C155">
        <v>5.64862E-2</v>
      </c>
      <c r="D155">
        <v>-5.6140599999999997E-4</v>
      </c>
      <c r="E155">
        <v>5.2276100000000003</v>
      </c>
    </row>
    <row r="156" spans="1:5" x14ac:dyDescent="0.2">
      <c r="A156">
        <v>2</v>
      </c>
      <c r="B156" t="s">
        <v>357</v>
      </c>
      <c r="C156">
        <v>5.7362900000000001E-2</v>
      </c>
      <c r="D156">
        <v>1.081E-2</v>
      </c>
      <c r="E156">
        <v>6.03186</v>
      </c>
    </row>
    <row r="157" spans="1:5" x14ac:dyDescent="0.2">
      <c r="A157">
        <v>2</v>
      </c>
      <c r="B157" t="s">
        <v>358</v>
      </c>
      <c r="C157">
        <v>6.0990700000000002E-2</v>
      </c>
      <c r="D157">
        <v>-7.4699699999999994E-2</v>
      </c>
      <c r="E157">
        <v>2.5132700000000001E-2</v>
      </c>
    </row>
    <row r="158" spans="1:5" x14ac:dyDescent="0.2">
      <c r="A158">
        <v>2</v>
      </c>
      <c r="B158" t="s">
        <v>359</v>
      </c>
      <c r="C158">
        <v>6.2521400000000005E-2</v>
      </c>
      <c r="D158">
        <v>-2.2095099999999999E-2</v>
      </c>
      <c r="E158">
        <v>0.70371700000000004</v>
      </c>
    </row>
    <row r="159" spans="1:5" x14ac:dyDescent="0.2">
      <c r="A159">
        <v>2</v>
      </c>
      <c r="B159" t="s">
        <v>360</v>
      </c>
      <c r="C159">
        <v>6.3211000000000003E-2</v>
      </c>
      <c r="D159">
        <v>4.6687300000000001E-2</v>
      </c>
      <c r="E159">
        <v>0.57805300000000004</v>
      </c>
    </row>
    <row r="160" spans="1:5" x14ac:dyDescent="0.2">
      <c r="A160">
        <v>2</v>
      </c>
      <c r="B160" t="s">
        <v>361</v>
      </c>
      <c r="C160">
        <v>6.3721200000000006E-2</v>
      </c>
      <c r="D160">
        <v>-7.9727999999999993E-2</v>
      </c>
      <c r="E160">
        <v>2.6389399999999998</v>
      </c>
    </row>
    <row r="161" spans="1:5" x14ac:dyDescent="0.2">
      <c r="A161">
        <v>2</v>
      </c>
      <c r="B161" t="s">
        <v>362</v>
      </c>
      <c r="C161">
        <v>6.4951300000000003E-2</v>
      </c>
      <c r="D161">
        <v>6.5567100000000003E-2</v>
      </c>
      <c r="E161">
        <v>2.5132700000000001E-2</v>
      </c>
    </row>
    <row r="162" spans="1:5" x14ac:dyDescent="0.2">
      <c r="A162">
        <v>2</v>
      </c>
      <c r="B162" t="s">
        <v>363</v>
      </c>
      <c r="C162">
        <v>6.7904400000000004E-2</v>
      </c>
      <c r="D162">
        <v>-5.3966300000000002E-2</v>
      </c>
      <c r="E162">
        <v>4.17204</v>
      </c>
    </row>
    <row r="163" spans="1:5" x14ac:dyDescent="0.2">
      <c r="A163">
        <v>2</v>
      </c>
      <c r="B163" t="s">
        <v>364</v>
      </c>
      <c r="C163">
        <v>7.2489100000000001E-2</v>
      </c>
      <c r="D163">
        <v>-4.6944899999999998E-2</v>
      </c>
      <c r="E163">
        <v>2.8902700000000001</v>
      </c>
    </row>
    <row r="164" spans="1:5" x14ac:dyDescent="0.2">
      <c r="A164">
        <v>2</v>
      </c>
      <c r="B164" t="s">
        <v>365</v>
      </c>
      <c r="C164">
        <v>7.2712299999999994E-2</v>
      </c>
      <c r="D164">
        <v>8.4277099999999994E-2</v>
      </c>
      <c r="E164">
        <v>5.6297300000000003</v>
      </c>
    </row>
    <row r="165" spans="1:5" x14ac:dyDescent="0.2">
      <c r="A165">
        <v>2</v>
      </c>
      <c r="B165" t="s">
        <v>366</v>
      </c>
      <c r="C165">
        <v>7.3349899999999996E-2</v>
      </c>
      <c r="D165">
        <v>4.1089599999999997E-2</v>
      </c>
      <c r="E165">
        <v>5.5292000000000003</v>
      </c>
    </row>
    <row r="166" spans="1:5" x14ac:dyDescent="0.2">
      <c r="A166">
        <v>2</v>
      </c>
      <c r="B166" t="s">
        <v>367</v>
      </c>
      <c r="C166">
        <v>7.8644800000000001E-2</v>
      </c>
      <c r="D166">
        <v>-3.5673099999999999E-2</v>
      </c>
      <c r="E166">
        <v>0.351858</v>
      </c>
    </row>
    <row r="167" spans="1:5" x14ac:dyDescent="0.2">
      <c r="A167">
        <v>2</v>
      </c>
      <c r="B167" t="s">
        <v>368</v>
      </c>
      <c r="C167">
        <v>7.9813899999999993E-2</v>
      </c>
      <c r="D167">
        <v>-3.6380799999999998E-2</v>
      </c>
      <c r="E167">
        <v>3.9709699999999999</v>
      </c>
    </row>
    <row r="168" spans="1:5" x14ac:dyDescent="0.2">
      <c r="A168">
        <v>2</v>
      </c>
      <c r="B168" t="s">
        <v>369</v>
      </c>
      <c r="C168">
        <v>7.9894999999999994E-2</v>
      </c>
      <c r="D168">
        <v>-7.5883099999999995E-2</v>
      </c>
      <c r="E168">
        <v>2.61381</v>
      </c>
    </row>
    <row r="169" spans="1:5" x14ac:dyDescent="0.2">
      <c r="A169">
        <v>2</v>
      </c>
      <c r="B169" t="s">
        <v>370</v>
      </c>
      <c r="C169">
        <v>8.0201400000000006E-2</v>
      </c>
      <c r="D169">
        <v>7.48085E-2</v>
      </c>
      <c r="E169">
        <v>0.27645999999999998</v>
      </c>
    </row>
    <row r="170" spans="1:5" x14ac:dyDescent="0.2">
      <c r="A170">
        <v>2</v>
      </c>
      <c r="B170" t="s">
        <v>371</v>
      </c>
      <c r="C170">
        <v>8.0708199999999994E-2</v>
      </c>
      <c r="D170">
        <v>-7.9093399999999994E-2</v>
      </c>
      <c r="E170">
        <v>2.38761</v>
      </c>
    </row>
    <row r="171" spans="1:5" x14ac:dyDescent="0.2">
      <c r="A171">
        <v>2</v>
      </c>
      <c r="B171" t="s">
        <v>372</v>
      </c>
      <c r="C171">
        <v>8.0717300000000006E-2</v>
      </c>
      <c r="D171">
        <v>0.103024</v>
      </c>
      <c r="E171">
        <v>0.427257</v>
      </c>
    </row>
    <row r="172" spans="1:5" x14ac:dyDescent="0.2">
      <c r="A172">
        <v>2</v>
      </c>
      <c r="B172" t="s">
        <v>373</v>
      </c>
      <c r="C172">
        <v>8.3199700000000001E-2</v>
      </c>
      <c r="D172">
        <v>4.1982199999999997E-2</v>
      </c>
      <c r="E172">
        <v>1.6085</v>
      </c>
    </row>
    <row r="173" spans="1:5" x14ac:dyDescent="0.2">
      <c r="A173">
        <v>2</v>
      </c>
      <c r="B173" t="s">
        <v>374</v>
      </c>
      <c r="C173">
        <v>8.3672800000000006E-2</v>
      </c>
      <c r="D173">
        <v>5.7366199999999999E-2</v>
      </c>
      <c r="E173">
        <v>0.301593</v>
      </c>
    </row>
    <row r="174" spans="1:5" x14ac:dyDescent="0.2">
      <c r="A174">
        <v>2</v>
      </c>
      <c r="B174" t="s">
        <v>375</v>
      </c>
      <c r="C174">
        <v>8.3790500000000004E-2</v>
      </c>
      <c r="D174">
        <v>4.6766599999999998E-2</v>
      </c>
      <c r="E174">
        <v>3.5688499999999999</v>
      </c>
    </row>
    <row r="175" spans="1:5" x14ac:dyDescent="0.2">
      <c r="A175">
        <v>2</v>
      </c>
      <c r="B175" t="s">
        <v>376</v>
      </c>
      <c r="C175">
        <v>8.4265199999999998E-2</v>
      </c>
      <c r="D175">
        <v>1.2319E-2</v>
      </c>
      <c r="E175">
        <v>2.9154</v>
      </c>
    </row>
    <row r="176" spans="1:5" x14ac:dyDescent="0.2">
      <c r="A176">
        <v>2</v>
      </c>
      <c r="B176" t="s">
        <v>377</v>
      </c>
      <c r="C176">
        <v>8.8604799999999997E-2</v>
      </c>
      <c r="D176">
        <v>-1.8353700000000001E-2</v>
      </c>
      <c r="E176">
        <v>0.80424799999999996</v>
      </c>
    </row>
    <row r="177" spans="1:5" x14ac:dyDescent="0.2">
      <c r="A177">
        <v>2</v>
      </c>
      <c r="B177" t="s">
        <v>378</v>
      </c>
      <c r="C177">
        <v>9.1979000000000005E-2</v>
      </c>
      <c r="D177">
        <v>-6.4661800000000005E-2</v>
      </c>
      <c r="E177">
        <v>1.6336299999999999</v>
      </c>
    </row>
    <row r="178" spans="1:5" x14ac:dyDescent="0.2">
      <c r="A178">
        <v>2</v>
      </c>
      <c r="B178" t="s">
        <v>379</v>
      </c>
      <c r="C178">
        <v>9.2205400000000007E-2</v>
      </c>
      <c r="D178">
        <v>-4.5111400000000003E-2</v>
      </c>
      <c r="E178">
        <v>1.6085</v>
      </c>
    </row>
    <row r="179" spans="1:5" x14ac:dyDescent="0.2">
      <c r="A179">
        <v>2</v>
      </c>
      <c r="B179" t="s">
        <v>380</v>
      </c>
      <c r="C179">
        <v>9.6657099999999996E-2</v>
      </c>
      <c r="D179">
        <v>-3.3943900000000002E-3</v>
      </c>
      <c r="E179">
        <v>0.98017699999999996</v>
      </c>
    </row>
    <row r="180" spans="1:5" x14ac:dyDescent="0.2">
      <c r="A180">
        <v>2</v>
      </c>
      <c r="B180" t="s">
        <v>381</v>
      </c>
      <c r="C180">
        <v>9.9473000000000006E-2</v>
      </c>
      <c r="D180">
        <v>4.4958900000000003E-2</v>
      </c>
      <c r="E180">
        <v>3.8201800000000001</v>
      </c>
    </row>
    <row r="181" spans="1:5" x14ac:dyDescent="0.2">
      <c r="A181">
        <v>2</v>
      </c>
      <c r="B181" t="s">
        <v>382</v>
      </c>
      <c r="C181">
        <v>0.101497</v>
      </c>
      <c r="D181">
        <v>-9.9036799999999994E-2</v>
      </c>
      <c r="E181">
        <v>3.9207100000000001</v>
      </c>
    </row>
    <row r="182" spans="1:5" x14ac:dyDescent="0.2">
      <c r="A182">
        <v>2</v>
      </c>
      <c r="B182" t="s">
        <v>383</v>
      </c>
      <c r="C182">
        <v>0.10351299999999999</v>
      </c>
      <c r="D182">
        <v>8.5050100000000003E-2</v>
      </c>
      <c r="E182">
        <v>4.9008799999999999</v>
      </c>
    </row>
    <row r="183" spans="1:5" x14ac:dyDescent="0.2">
      <c r="A183">
        <v>2</v>
      </c>
      <c r="B183" t="s">
        <v>384</v>
      </c>
      <c r="C183">
        <v>0.103717</v>
      </c>
      <c r="D183">
        <v>0.121976</v>
      </c>
      <c r="E183">
        <v>5.4035399999999996</v>
      </c>
    </row>
    <row r="184" spans="1:5" x14ac:dyDescent="0.2">
      <c r="A184">
        <v>2</v>
      </c>
      <c r="B184" t="s">
        <v>385</v>
      </c>
      <c r="C184">
        <v>0.10778799999999999</v>
      </c>
      <c r="D184">
        <v>-8.0148499999999998E-2</v>
      </c>
      <c r="E184">
        <v>5.9564599999999999</v>
      </c>
    </row>
    <row r="185" spans="1:5" x14ac:dyDescent="0.2">
      <c r="A185">
        <v>2</v>
      </c>
      <c r="B185" t="s">
        <v>386</v>
      </c>
      <c r="C185">
        <v>0.109087</v>
      </c>
      <c r="D185">
        <v>3.5056200000000003E-2</v>
      </c>
      <c r="E185">
        <v>0.477522</v>
      </c>
    </row>
    <row r="186" spans="1:5" x14ac:dyDescent="0.2">
      <c r="A186">
        <v>2</v>
      </c>
      <c r="B186" t="s">
        <v>387</v>
      </c>
      <c r="C186">
        <v>0.109393</v>
      </c>
      <c r="D186">
        <v>4.0336299999999999E-2</v>
      </c>
      <c r="E186">
        <v>3.8955700000000002</v>
      </c>
    </row>
    <row r="187" spans="1:5" x14ac:dyDescent="0.2">
      <c r="A187">
        <v>2</v>
      </c>
      <c r="B187" t="s">
        <v>388</v>
      </c>
      <c r="C187">
        <v>0.110791</v>
      </c>
      <c r="D187">
        <v>0.101256</v>
      </c>
      <c r="E187">
        <v>4.57416</v>
      </c>
    </row>
    <row r="188" spans="1:5" x14ac:dyDescent="0.2">
      <c r="A188">
        <v>2</v>
      </c>
      <c r="B188" t="s">
        <v>389</v>
      </c>
      <c r="C188">
        <v>0.121172</v>
      </c>
      <c r="D188">
        <v>0.105776</v>
      </c>
      <c r="E188">
        <v>5.3030099999999996</v>
      </c>
    </row>
    <row r="189" spans="1:5" x14ac:dyDescent="0.2">
      <c r="A189">
        <v>2</v>
      </c>
      <c r="B189" t="s">
        <v>390</v>
      </c>
      <c r="C189">
        <v>0.121687</v>
      </c>
      <c r="D189">
        <v>-2.4522700000000001E-2</v>
      </c>
      <c r="E189">
        <v>5.4789399999999997</v>
      </c>
    </row>
    <row r="190" spans="1:5" x14ac:dyDescent="0.2">
      <c r="A190">
        <v>2</v>
      </c>
      <c r="B190" t="s">
        <v>391</v>
      </c>
      <c r="C190">
        <v>0.122975</v>
      </c>
      <c r="D190">
        <v>5.5787200000000002E-2</v>
      </c>
      <c r="E190">
        <v>0.45238899999999999</v>
      </c>
    </row>
    <row r="191" spans="1:5" x14ac:dyDescent="0.2">
      <c r="A191">
        <v>2</v>
      </c>
      <c r="B191" t="s">
        <v>392</v>
      </c>
      <c r="C191">
        <v>0.12520899999999999</v>
      </c>
      <c r="D191">
        <v>-2.3848399999999999E-2</v>
      </c>
      <c r="E191">
        <v>4.7249600000000003</v>
      </c>
    </row>
    <row r="192" spans="1:5" x14ac:dyDescent="0.2">
      <c r="A192">
        <v>2</v>
      </c>
      <c r="B192" t="s">
        <v>393</v>
      </c>
      <c r="C192">
        <v>0.12796199999999999</v>
      </c>
      <c r="D192">
        <v>-0.12845999999999999</v>
      </c>
      <c r="E192">
        <v>3.7699099999999999</v>
      </c>
    </row>
    <row r="193" spans="1:5" x14ac:dyDescent="0.2">
      <c r="A193">
        <v>2</v>
      </c>
      <c r="B193" t="s">
        <v>394</v>
      </c>
      <c r="C193">
        <v>0.130991</v>
      </c>
      <c r="D193">
        <v>-3.4998099999999997E-2</v>
      </c>
      <c r="E193">
        <v>5.8810599999999997</v>
      </c>
    </row>
    <row r="194" spans="1:5" x14ac:dyDescent="0.2">
      <c r="A194">
        <v>2</v>
      </c>
      <c r="B194" t="s">
        <v>395</v>
      </c>
      <c r="C194">
        <v>0.13108500000000001</v>
      </c>
      <c r="D194">
        <v>0.12528</v>
      </c>
      <c r="E194">
        <v>5.3784099999999997</v>
      </c>
    </row>
    <row r="195" spans="1:5" x14ac:dyDescent="0.2">
      <c r="A195">
        <v>2</v>
      </c>
      <c r="B195" t="s">
        <v>396</v>
      </c>
      <c r="C195">
        <v>0.13439799999999999</v>
      </c>
      <c r="D195">
        <v>-1.6921100000000001E-2</v>
      </c>
      <c r="E195">
        <v>5.3030099999999996</v>
      </c>
    </row>
    <row r="196" spans="1:5" x14ac:dyDescent="0.2">
      <c r="A196">
        <v>2</v>
      </c>
      <c r="B196" t="s">
        <v>397</v>
      </c>
      <c r="C196">
        <v>0.14097199999999999</v>
      </c>
      <c r="D196">
        <v>-9.1219700000000001E-3</v>
      </c>
      <c r="E196">
        <v>1.13097</v>
      </c>
    </row>
    <row r="197" spans="1:5" x14ac:dyDescent="0.2">
      <c r="A197">
        <v>2</v>
      </c>
      <c r="B197" t="s">
        <v>398</v>
      </c>
      <c r="C197">
        <v>0.15078900000000001</v>
      </c>
      <c r="D197">
        <v>0.14600199999999999</v>
      </c>
      <c r="E197">
        <v>0.351858</v>
      </c>
    </row>
    <row r="198" spans="1:5" x14ac:dyDescent="0.2">
      <c r="A198">
        <v>2</v>
      </c>
      <c r="B198" t="s">
        <v>399</v>
      </c>
      <c r="C198">
        <v>0.15518299999999999</v>
      </c>
      <c r="D198">
        <v>3.50199E-2</v>
      </c>
      <c r="E198">
        <v>2.18655</v>
      </c>
    </row>
    <row r="199" spans="1:5" x14ac:dyDescent="0.2">
      <c r="A199">
        <v>2</v>
      </c>
      <c r="B199" t="s">
        <v>400</v>
      </c>
      <c r="C199">
        <v>0.16573399999999999</v>
      </c>
      <c r="D199">
        <v>-3.9022399999999999E-2</v>
      </c>
      <c r="E199">
        <v>5.4789399999999997</v>
      </c>
    </row>
    <row r="200" spans="1:5" x14ac:dyDescent="0.2">
      <c r="A200">
        <v>2</v>
      </c>
      <c r="B200" t="s">
        <v>401</v>
      </c>
      <c r="C200">
        <v>0.18082899999999999</v>
      </c>
      <c r="D200">
        <v>-0.14719699999999999</v>
      </c>
      <c r="E200">
        <v>6.13239</v>
      </c>
    </row>
    <row r="201" spans="1:5" x14ac:dyDescent="0.2">
      <c r="A201">
        <v>2</v>
      </c>
      <c r="B201" t="s">
        <v>402</v>
      </c>
      <c r="C201">
        <v>0.19406799999999999</v>
      </c>
      <c r="D201">
        <v>1.39817E-2</v>
      </c>
      <c r="E201">
        <v>5.5543399999999998</v>
      </c>
    </row>
    <row r="202" spans="1:5" x14ac:dyDescent="0.2">
      <c r="A202">
        <v>2</v>
      </c>
      <c r="B202" t="s">
        <v>403</v>
      </c>
      <c r="C202">
        <v>0.2</v>
      </c>
      <c r="D202">
        <v>-0.77621899999999999</v>
      </c>
      <c r="E202">
        <v>1.7341599999999999</v>
      </c>
    </row>
    <row r="203" spans="1:5" x14ac:dyDescent="0.2">
      <c r="A203">
        <v>2</v>
      </c>
      <c r="B203" t="s">
        <v>404</v>
      </c>
      <c r="C203">
        <v>0.20009099999999999</v>
      </c>
      <c r="D203">
        <v>0.12809499999999999</v>
      </c>
      <c r="E203">
        <v>0.27645999999999998</v>
      </c>
    </row>
    <row r="204" spans="1:5" x14ac:dyDescent="0.2">
      <c r="A204">
        <v>2</v>
      </c>
      <c r="B204" t="s">
        <v>405</v>
      </c>
      <c r="C204">
        <v>0.20705599999999999</v>
      </c>
      <c r="D204">
        <v>4.0109199999999998E-2</v>
      </c>
      <c r="E204">
        <v>6.0821199999999997</v>
      </c>
    </row>
    <row r="205" spans="1:5" x14ac:dyDescent="0.2">
      <c r="A205">
        <v>2</v>
      </c>
      <c r="B205" t="s">
        <v>406</v>
      </c>
      <c r="C205">
        <v>0.236017</v>
      </c>
      <c r="D205">
        <v>0.24391699999999999</v>
      </c>
      <c r="E205">
        <v>6.1072600000000001</v>
      </c>
    </row>
    <row r="206" spans="1:5" x14ac:dyDescent="0.2">
      <c r="A206">
        <v>2</v>
      </c>
      <c r="B206" t="s">
        <v>407</v>
      </c>
      <c r="C206">
        <v>0.27207399999999998</v>
      </c>
      <c r="D206">
        <v>0.26632699999999998</v>
      </c>
      <c r="E206">
        <v>1.9100900000000001</v>
      </c>
    </row>
    <row r="207" spans="1:5" x14ac:dyDescent="0.2">
      <c r="A207">
        <v>2</v>
      </c>
      <c r="B207" t="s">
        <v>408</v>
      </c>
      <c r="C207">
        <v>0.28843000000000002</v>
      </c>
      <c r="D207">
        <v>-5.8837899999999999E-2</v>
      </c>
      <c r="E207">
        <v>3.5939800000000002</v>
      </c>
    </row>
    <row r="208" spans="1:5" x14ac:dyDescent="0.2">
      <c r="A208">
        <v>2</v>
      </c>
      <c r="B208" t="s">
        <v>409</v>
      </c>
      <c r="C208">
        <v>0.39151900000000001</v>
      </c>
      <c r="D208">
        <v>-0.48042000000000001</v>
      </c>
      <c r="E208">
        <v>5.0265499999999998E-2</v>
      </c>
    </row>
    <row r="209" spans="1:5" x14ac:dyDescent="0.2">
      <c r="A209">
        <v>2</v>
      </c>
      <c r="B209" t="s">
        <v>410</v>
      </c>
      <c r="C209">
        <v>0.46051599999999998</v>
      </c>
      <c r="D209">
        <v>0.29300999999999999</v>
      </c>
      <c r="E209">
        <v>5.07681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C02D1-2CEC-D146-B9EB-0705783CD914}">
  <dimension ref="A1:I140"/>
  <sheetViews>
    <sheetView workbookViewId="0">
      <selection activeCell="E12" sqref="E12"/>
    </sheetView>
  </sheetViews>
  <sheetFormatPr baseColWidth="10" defaultRowHeight="16" x14ac:dyDescent="0.2"/>
  <cols>
    <col min="2" max="2" width="20.1640625" customWidth="1"/>
  </cols>
  <sheetData>
    <row r="1" spans="1:9" x14ac:dyDescent="0.2">
      <c r="A1" t="s">
        <v>418</v>
      </c>
    </row>
    <row r="3" spans="1:9" x14ac:dyDescent="0.2">
      <c r="B3" s="1" t="s">
        <v>419</v>
      </c>
      <c r="C3" t="s">
        <v>413</v>
      </c>
      <c r="G3" s="1" t="s">
        <v>500</v>
      </c>
      <c r="I3" t="s">
        <v>413</v>
      </c>
    </row>
    <row r="4" spans="1:9" s="1" customFormat="1" x14ac:dyDescent="0.2">
      <c r="A4" s="1" t="s">
        <v>312</v>
      </c>
      <c r="B4" s="1" t="s">
        <v>236</v>
      </c>
      <c r="C4" s="1" t="s">
        <v>194</v>
      </c>
      <c r="G4" s="1" t="s">
        <v>312</v>
      </c>
      <c r="H4" s="1" t="s">
        <v>236</v>
      </c>
      <c r="I4" s="1" t="s">
        <v>194</v>
      </c>
    </row>
    <row r="5" spans="1:9" x14ac:dyDescent="0.2">
      <c r="A5">
        <v>1</v>
      </c>
      <c r="B5" t="s">
        <v>420</v>
      </c>
      <c r="C5">
        <v>0</v>
      </c>
      <c r="G5">
        <v>1</v>
      </c>
      <c r="H5" t="s">
        <v>355</v>
      </c>
      <c r="I5">
        <v>0</v>
      </c>
    </row>
    <row r="6" spans="1:9" x14ac:dyDescent="0.2">
      <c r="A6">
        <v>1</v>
      </c>
      <c r="B6" t="s">
        <v>421</v>
      </c>
      <c r="C6">
        <v>0</v>
      </c>
      <c r="G6">
        <v>1</v>
      </c>
      <c r="H6" t="s">
        <v>507</v>
      </c>
      <c r="I6">
        <v>0</v>
      </c>
    </row>
    <row r="7" spans="1:9" x14ac:dyDescent="0.2">
      <c r="A7">
        <v>1</v>
      </c>
      <c r="B7" t="s">
        <v>422</v>
      </c>
      <c r="C7">
        <v>0</v>
      </c>
      <c r="G7">
        <v>1</v>
      </c>
      <c r="H7" t="s">
        <v>342</v>
      </c>
      <c r="I7">
        <v>0</v>
      </c>
    </row>
    <row r="8" spans="1:9" x14ac:dyDescent="0.2">
      <c r="A8">
        <v>1</v>
      </c>
      <c r="B8" t="s">
        <v>423</v>
      </c>
      <c r="C8">
        <v>0</v>
      </c>
      <c r="G8">
        <v>1</v>
      </c>
      <c r="H8" t="s">
        <v>508</v>
      </c>
      <c r="I8">
        <v>0</v>
      </c>
    </row>
    <row r="9" spans="1:9" x14ac:dyDescent="0.2">
      <c r="A9">
        <v>1</v>
      </c>
      <c r="B9" t="s">
        <v>375</v>
      </c>
      <c r="C9">
        <v>0</v>
      </c>
      <c r="G9">
        <v>1</v>
      </c>
      <c r="H9" t="s">
        <v>509</v>
      </c>
      <c r="I9">
        <v>0</v>
      </c>
    </row>
    <row r="10" spans="1:9" x14ac:dyDescent="0.2">
      <c r="A10">
        <v>1</v>
      </c>
      <c r="B10" t="s">
        <v>424</v>
      </c>
      <c r="C10">
        <v>0</v>
      </c>
      <c r="G10">
        <v>1</v>
      </c>
      <c r="H10" t="s">
        <v>324</v>
      </c>
      <c r="I10">
        <v>0</v>
      </c>
    </row>
    <row r="11" spans="1:9" x14ac:dyDescent="0.2">
      <c r="A11">
        <v>1</v>
      </c>
      <c r="B11" t="s">
        <v>425</v>
      </c>
      <c r="C11">
        <v>0</v>
      </c>
      <c r="G11">
        <v>1</v>
      </c>
      <c r="H11" t="s">
        <v>510</v>
      </c>
      <c r="I11">
        <v>0</v>
      </c>
    </row>
    <row r="12" spans="1:9" x14ac:dyDescent="0.2">
      <c r="A12">
        <v>1</v>
      </c>
      <c r="B12" t="s">
        <v>426</v>
      </c>
      <c r="C12">
        <v>0</v>
      </c>
      <c r="G12">
        <v>1</v>
      </c>
      <c r="H12" t="s">
        <v>410</v>
      </c>
      <c r="I12">
        <v>0</v>
      </c>
    </row>
    <row r="13" spans="1:9" x14ac:dyDescent="0.2">
      <c r="A13">
        <v>1</v>
      </c>
      <c r="B13" t="s">
        <v>427</v>
      </c>
      <c r="C13">
        <v>0</v>
      </c>
      <c r="G13">
        <v>1</v>
      </c>
      <c r="H13" t="s">
        <v>511</v>
      </c>
      <c r="I13">
        <v>0</v>
      </c>
    </row>
    <row r="14" spans="1:9" x14ac:dyDescent="0.2">
      <c r="A14">
        <v>1</v>
      </c>
      <c r="B14" t="s">
        <v>428</v>
      </c>
      <c r="C14">
        <v>0</v>
      </c>
      <c r="G14">
        <v>1</v>
      </c>
      <c r="H14" t="s">
        <v>512</v>
      </c>
      <c r="I14">
        <v>0</v>
      </c>
    </row>
    <row r="15" spans="1:9" x14ac:dyDescent="0.2">
      <c r="A15">
        <v>1</v>
      </c>
      <c r="B15" t="s">
        <v>429</v>
      </c>
      <c r="C15">
        <v>0</v>
      </c>
      <c r="G15">
        <v>1</v>
      </c>
      <c r="H15" t="s">
        <v>513</v>
      </c>
      <c r="I15">
        <v>1.52464E-2</v>
      </c>
    </row>
    <row r="16" spans="1:9" x14ac:dyDescent="0.2">
      <c r="A16">
        <v>1</v>
      </c>
      <c r="B16" t="s">
        <v>430</v>
      </c>
      <c r="C16">
        <v>0</v>
      </c>
      <c r="G16">
        <v>1</v>
      </c>
      <c r="H16" t="s">
        <v>514</v>
      </c>
      <c r="I16">
        <v>1.9002499999999999E-2</v>
      </c>
    </row>
    <row r="17" spans="1:9" x14ac:dyDescent="0.2">
      <c r="A17">
        <v>1</v>
      </c>
      <c r="B17" t="s">
        <v>431</v>
      </c>
      <c r="C17">
        <v>0</v>
      </c>
      <c r="G17">
        <v>1</v>
      </c>
      <c r="H17" t="s">
        <v>383</v>
      </c>
      <c r="I17">
        <v>2.5848300000000001E-2</v>
      </c>
    </row>
    <row r="18" spans="1:9" x14ac:dyDescent="0.2">
      <c r="A18">
        <v>1</v>
      </c>
      <c r="B18" t="s">
        <v>432</v>
      </c>
      <c r="C18">
        <v>0</v>
      </c>
      <c r="G18">
        <v>1</v>
      </c>
      <c r="H18" t="s">
        <v>350</v>
      </c>
      <c r="I18">
        <v>3.9671999999999999E-2</v>
      </c>
    </row>
    <row r="19" spans="1:9" x14ac:dyDescent="0.2">
      <c r="A19">
        <v>1</v>
      </c>
      <c r="B19" t="s">
        <v>433</v>
      </c>
      <c r="C19">
        <v>0</v>
      </c>
      <c r="G19">
        <v>1</v>
      </c>
      <c r="H19" t="s">
        <v>515</v>
      </c>
      <c r="I19">
        <v>4.1385400000000003E-2</v>
      </c>
    </row>
    <row r="20" spans="1:9" x14ac:dyDescent="0.2">
      <c r="A20">
        <v>1</v>
      </c>
      <c r="B20" t="s">
        <v>434</v>
      </c>
      <c r="C20">
        <v>0</v>
      </c>
      <c r="G20">
        <v>1</v>
      </c>
      <c r="H20" t="s">
        <v>360</v>
      </c>
      <c r="I20">
        <v>4.1947699999999997E-2</v>
      </c>
    </row>
    <row r="21" spans="1:9" x14ac:dyDescent="0.2">
      <c r="A21">
        <v>1</v>
      </c>
      <c r="B21" t="s">
        <v>435</v>
      </c>
      <c r="C21">
        <v>0</v>
      </c>
      <c r="G21">
        <v>1</v>
      </c>
      <c r="H21" t="s">
        <v>379</v>
      </c>
      <c r="I21">
        <v>4.4170800000000003E-2</v>
      </c>
    </row>
    <row r="22" spans="1:9" x14ac:dyDescent="0.2">
      <c r="A22">
        <v>1</v>
      </c>
      <c r="B22" t="s">
        <v>436</v>
      </c>
      <c r="C22">
        <v>0</v>
      </c>
      <c r="G22">
        <v>1</v>
      </c>
      <c r="H22" t="s">
        <v>516</v>
      </c>
      <c r="I22">
        <v>4.6193999999999999E-2</v>
      </c>
    </row>
    <row r="23" spans="1:9" x14ac:dyDescent="0.2">
      <c r="A23">
        <v>1</v>
      </c>
      <c r="B23" t="s">
        <v>437</v>
      </c>
      <c r="C23">
        <v>0</v>
      </c>
      <c r="G23">
        <v>1</v>
      </c>
      <c r="H23" t="s">
        <v>517</v>
      </c>
      <c r="I23">
        <v>4.6629499999999997E-2</v>
      </c>
    </row>
    <row r="24" spans="1:9" x14ac:dyDescent="0.2">
      <c r="A24">
        <v>1</v>
      </c>
      <c r="B24" t="s">
        <v>438</v>
      </c>
      <c r="C24">
        <v>0</v>
      </c>
      <c r="G24">
        <v>1</v>
      </c>
      <c r="H24" t="s">
        <v>505</v>
      </c>
      <c r="I24">
        <v>4.78482E-2</v>
      </c>
    </row>
    <row r="25" spans="1:9" x14ac:dyDescent="0.2">
      <c r="A25">
        <v>1</v>
      </c>
      <c r="B25" t="s">
        <v>439</v>
      </c>
      <c r="C25">
        <v>0</v>
      </c>
      <c r="G25">
        <v>1</v>
      </c>
      <c r="H25" t="s">
        <v>518</v>
      </c>
      <c r="I25">
        <v>5.2782299999999997E-2</v>
      </c>
    </row>
    <row r="26" spans="1:9" x14ac:dyDescent="0.2">
      <c r="A26">
        <v>1</v>
      </c>
      <c r="B26" t="s">
        <v>440</v>
      </c>
      <c r="C26">
        <v>0</v>
      </c>
      <c r="G26">
        <v>1</v>
      </c>
      <c r="H26" t="s">
        <v>405</v>
      </c>
      <c r="I26">
        <v>5.7133999999999997E-2</v>
      </c>
    </row>
    <row r="27" spans="1:9" x14ac:dyDescent="0.2">
      <c r="A27">
        <v>1</v>
      </c>
      <c r="B27" t="s">
        <v>441</v>
      </c>
      <c r="C27">
        <v>0</v>
      </c>
      <c r="G27">
        <v>1</v>
      </c>
      <c r="H27" t="s">
        <v>347</v>
      </c>
      <c r="I27">
        <v>6.1204399999999999E-2</v>
      </c>
    </row>
    <row r="28" spans="1:9" x14ac:dyDescent="0.2">
      <c r="A28">
        <v>1</v>
      </c>
      <c r="B28" t="s">
        <v>442</v>
      </c>
      <c r="C28">
        <v>0</v>
      </c>
      <c r="G28">
        <v>1</v>
      </c>
      <c r="H28" t="s">
        <v>519</v>
      </c>
      <c r="I28">
        <v>6.4101099999999994E-2</v>
      </c>
    </row>
    <row r="29" spans="1:9" x14ac:dyDescent="0.2">
      <c r="A29">
        <v>1</v>
      </c>
      <c r="B29" t="s">
        <v>443</v>
      </c>
      <c r="C29">
        <v>0</v>
      </c>
      <c r="G29">
        <v>1</v>
      </c>
      <c r="H29" t="s">
        <v>520</v>
      </c>
      <c r="I29">
        <v>6.5086900000000003E-2</v>
      </c>
    </row>
    <row r="30" spans="1:9" x14ac:dyDescent="0.2">
      <c r="A30">
        <v>1</v>
      </c>
      <c r="B30" t="s">
        <v>444</v>
      </c>
      <c r="C30">
        <v>0</v>
      </c>
      <c r="G30">
        <v>1</v>
      </c>
      <c r="H30" t="s">
        <v>521</v>
      </c>
      <c r="I30">
        <v>6.6612599999999994E-2</v>
      </c>
    </row>
    <row r="31" spans="1:9" x14ac:dyDescent="0.2">
      <c r="A31">
        <v>1</v>
      </c>
      <c r="B31" t="s">
        <v>349</v>
      </c>
      <c r="C31">
        <v>0</v>
      </c>
      <c r="G31">
        <v>1</v>
      </c>
      <c r="H31" t="s">
        <v>321</v>
      </c>
      <c r="I31">
        <v>6.8070099999999995E-2</v>
      </c>
    </row>
    <row r="32" spans="1:9" x14ac:dyDescent="0.2">
      <c r="A32">
        <v>1</v>
      </c>
      <c r="B32" t="s">
        <v>445</v>
      </c>
      <c r="C32">
        <v>0</v>
      </c>
      <c r="G32">
        <v>1</v>
      </c>
      <c r="H32" t="s">
        <v>522</v>
      </c>
      <c r="I32">
        <v>7.5606099999999996E-2</v>
      </c>
    </row>
    <row r="33" spans="1:9" x14ac:dyDescent="0.2">
      <c r="A33">
        <v>1</v>
      </c>
      <c r="B33" t="s">
        <v>446</v>
      </c>
      <c r="C33">
        <v>0</v>
      </c>
      <c r="G33">
        <v>1</v>
      </c>
      <c r="H33" t="s">
        <v>374</v>
      </c>
      <c r="I33">
        <v>7.9390500000000003E-2</v>
      </c>
    </row>
    <row r="34" spans="1:9" x14ac:dyDescent="0.2">
      <c r="A34">
        <v>1</v>
      </c>
      <c r="B34" t="s">
        <v>447</v>
      </c>
      <c r="C34">
        <v>0</v>
      </c>
      <c r="G34">
        <v>1</v>
      </c>
      <c r="H34" t="s">
        <v>398</v>
      </c>
      <c r="I34">
        <v>8.1100199999999997E-2</v>
      </c>
    </row>
    <row r="35" spans="1:9" x14ac:dyDescent="0.2">
      <c r="A35">
        <v>1</v>
      </c>
      <c r="B35" t="s">
        <v>448</v>
      </c>
      <c r="C35">
        <v>0</v>
      </c>
      <c r="G35">
        <v>1</v>
      </c>
      <c r="H35" t="s">
        <v>523</v>
      </c>
      <c r="I35">
        <v>8.2145800000000005E-2</v>
      </c>
    </row>
    <row r="36" spans="1:9" x14ac:dyDescent="0.2">
      <c r="A36">
        <v>1</v>
      </c>
      <c r="B36" t="s">
        <v>449</v>
      </c>
      <c r="C36">
        <v>0</v>
      </c>
      <c r="G36">
        <v>1</v>
      </c>
      <c r="H36" t="s">
        <v>524</v>
      </c>
      <c r="I36">
        <v>8.5614999999999997E-2</v>
      </c>
    </row>
    <row r="37" spans="1:9" x14ac:dyDescent="0.2">
      <c r="A37">
        <v>1</v>
      </c>
      <c r="B37" t="s">
        <v>450</v>
      </c>
      <c r="C37">
        <v>0</v>
      </c>
      <c r="G37">
        <v>1</v>
      </c>
      <c r="H37" t="s">
        <v>525</v>
      </c>
      <c r="I37">
        <v>8.7945099999999998E-2</v>
      </c>
    </row>
    <row r="38" spans="1:9" x14ac:dyDescent="0.2">
      <c r="A38">
        <v>1</v>
      </c>
      <c r="B38" t="s">
        <v>451</v>
      </c>
      <c r="C38">
        <v>0</v>
      </c>
      <c r="G38">
        <v>1</v>
      </c>
      <c r="H38" t="s">
        <v>316</v>
      </c>
      <c r="I38">
        <v>9.1134400000000004E-2</v>
      </c>
    </row>
    <row r="39" spans="1:9" x14ac:dyDescent="0.2">
      <c r="A39">
        <v>1</v>
      </c>
      <c r="B39" t="s">
        <v>452</v>
      </c>
      <c r="C39">
        <v>0</v>
      </c>
      <c r="G39">
        <v>1</v>
      </c>
      <c r="H39" t="s">
        <v>526</v>
      </c>
      <c r="I39">
        <v>9.2521500000000007E-2</v>
      </c>
    </row>
    <row r="40" spans="1:9" x14ac:dyDescent="0.2">
      <c r="A40">
        <v>1</v>
      </c>
      <c r="B40" t="s">
        <v>348</v>
      </c>
      <c r="C40">
        <v>0</v>
      </c>
      <c r="G40">
        <v>1</v>
      </c>
      <c r="H40" t="s">
        <v>364</v>
      </c>
      <c r="I40">
        <v>9.6592800000000006E-2</v>
      </c>
    </row>
    <row r="41" spans="1:9" x14ac:dyDescent="0.2">
      <c r="A41">
        <v>1</v>
      </c>
      <c r="B41" t="s">
        <v>453</v>
      </c>
      <c r="C41">
        <v>0</v>
      </c>
      <c r="G41">
        <v>1</v>
      </c>
      <c r="H41" t="s">
        <v>390</v>
      </c>
      <c r="I41">
        <v>9.9511199999999994E-2</v>
      </c>
    </row>
    <row r="42" spans="1:9" x14ac:dyDescent="0.2">
      <c r="A42">
        <v>1</v>
      </c>
      <c r="B42" t="s">
        <v>454</v>
      </c>
      <c r="C42">
        <v>0</v>
      </c>
      <c r="G42">
        <v>1</v>
      </c>
      <c r="H42" t="s">
        <v>527</v>
      </c>
      <c r="I42">
        <v>0.10582900000000001</v>
      </c>
    </row>
    <row r="43" spans="1:9" x14ac:dyDescent="0.2">
      <c r="A43">
        <v>1</v>
      </c>
      <c r="B43" t="s">
        <v>455</v>
      </c>
      <c r="C43">
        <v>0</v>
      </c>
      <c r="G43">
        <v>1</v>
      </c>
      <c r="H43" t="s">
        <v>381</v>
      </c>
      <c r="I43">
        <v>0.106376</v>
      </c>
    </row>
    <row r="44" spans="1:9" x14ac:dyDescent="0.2">
      <c r="A44">
        <v>1</v>
      </c>
      <c r="B44" t="s">
        <v>456</v>
      </c>
      <c r="C44">
        <v>1.62033E-2</v>
      </c>
      <c r="G44">
        <v>1</v>
      </c>
      <c r="H44" t="s">
        <v>367</v>
      </c>
      <c r="I44">
        <v>0.116437</v>
      </c>
    </row>
    <row r="45" spans="1:9" x14ac:dyDescent="0.2">
      <c r="A45">
        <v>1</v>
      </c>
      <c r="B45" t="s">
        <v>457</v>
      </c>
      <c r="C45">
        <v>3.1675799999999997E-2</v>
      </c>
      <c r="G45">
        <v>1</v>
      </c>
      <c r="H45" t="s">
        <v>528</v>
      </c>
      <c r="I45">
        <v>0.119768</v>
      </c>
    </row>
    <row r="46" spans="1:9" x14ac:dyDescent="0.2">
      <c r="A46">
        <v>1</v>
      </c>
      <c r="B46" t="s">
        <v>458</v>
      </c>
      <c r="C46">
        <v>4.03909E-2</v>
      </c>
      <c r="G46">
        <v>1</v>
      </c>
      <c r="H46" t="s">
        <v>529</v>
      </c>
      <c r="I46">
        <v>0.12484199999999999</v>
      </c>
    </row>
    <row r="47" spans="1:9" x14ac:dyDescent="0.2">
      <c r="A47">
        <v>1</v>
      </c>
      <c r="B47" t="s">
        <v>459</v>
      </c>
      <c r="C47">
        <v>4.84939E-2</v>
      </c>
      <c r="G47">
        <v>1</v>
      </c>
      <c r="H47" t="s">
        <v>530</v>
      </c>
      <c r="I47">
        <v>0.14625299999999999</v>
      </c>
    </row>
    <row r="48" spans="1:9" x14ac:dyDescent="0.2">
      <c r="A48">
        <v>1</v>
      </c>
      <c r="B48" t="s">
        <v>460</v>
      </c>
      <c r="C48">
        <v>5.3209899999999997E-2</v>
      </c>
      <c r="G48">
        <v>1</v>
      </c>
      <c r="H48" t="s">
        <v>531</v>
      </c>
      <c r="I48">
        <v>0.18029100000000001</v>
      </c>
    </row>
    <row r="49" spans="1:9" x14ac:dyDescent="0.2">
      <c r="A49">
        <v>1</v>
      </c>
      <c r="B49" t="s">
        <v>461</v>
      </c>
      <c r="C49">
        <v>5.49481E-2</v>
      </c>
      <c r="G49">
        <v>1</v>
      </c>
      <c r="H49" t="s">
        <v>363</v>
      </c>
      <c r="I49">
        <v>0.181093</v>
      </c>
    </row>
    <row r="50" spans="1:9" x14ac:dyDescent="0.2">
      <c r="A50">
        <v>1</v>
      </c>
      <c r="B50" t="s">
        <v>462</v>
      </c>
      <c r="C50">
        <v>6.0456999999999997E-2</v>
      </c>
      <c r="G50">
        <v>1</v>
      </c>
      <c r="H50" t="s">
        <v>532</v>
      </c>
      <c r="I50">
        <v>0.184588</v>
      </c>
    </row>
    <row r="51" spans="1:9" x14ac:dyDescent="0.2">
      <c r="A51">
        <v>1</v>
      </c>
      <c r="B51" t="s">
        <v>463</v>
      </c>
      <c r="C51">
        <v>6.8059700000000001E-2</v>
      </c>
      <c r="G51">
        <v>1</v>
      </c>
      <c r="H51" t="s">
        <v>533</v>
      </c>
      <c r="I51">
        <v>0.21478</v>
      </c>
    </row>
    <row r="52" spans="1:9" x14ac:dyDescent="0.2">
      <c r="A52">
        <v>1</v>
      </c>
      <c r="B52" t="s">
        <v>464</v>
      </c>
      <c r="C52">
        <v>7.00239E-2</v>
      </c>
      <c r="G52">
        <v>1</v>
      </c>
      <c r="H52" t="s">
        <v>401</v>
      </c>
      <c r="I52">
        <v>0.27811000000000002</v>
      </c>
    </row>
    <row r="53" spans="1:9" x14ac:dyDescent="0.2">
      <c r="A53">
        <v>1</v>
      </c>
      <c r="B53" t="s">
        <v>465</v>
      </c>
      <c r="C53">
        <v>7.9699300000000001E-2</v>
      </c>
      <c r="G53">
        <v>1</v>
      </c>
      <c r="H53" t="s">
        <v>534</v>
      </c>
      <c r="I53">
        <v>0.316936</v>
      </c>
    </row>
    <row r="54" spans="1:9" x14ac:dyDescent="0.2">
      <c r="A54">
        <v>1</v>
      </c>
      <c r="B54" t="s">
        <v>466</v>
      </c>
      <c r="C54">
        <v>9.0021000000000004E-2</v>
      </c>
      <c r="G54">
        <v>1</v>
      </c>
      <c r="H54" t="s">
        <v>535</v>
      </c>
      <c r="I54">
        <v>0.35315299999999999</v>
      </c>
    </row>
    <row r="55" spans="1:9" x14ac:dyDescent="0.2">
      <c r="A55">
        <v>1</v>
      </c>
      <c r="B55" t="s">
        <v>467</v>
      </c>
      <c r="C55">
        <v>9.4104300000000002E-2</v>
      </c>
      <c r="G55">
        <v>1</v>
      </c>
      <c r="H55" t="s">
        <v>536</v>
      </c>
      <c r="I55">
        <v>0.37348700000000001</v>
      </c>
    </row>
    <row r="56" spans="1:9" x14ac:dyDescent="0.2">
      <c r="A56">
        <v>1</v>
      </c>
      <c r="B56" t="s">
        <v>468</v>
      </c>
      <c r="C56">
        <v>9.5657400000000004E-2</v>
      </c>
      <c r="G56">
        <v>1</v>
      </c>
      <c r="H56" t="s">
        <v>368</v>
      </c>
      <c r="I56">
        <v>0.40296799999999999</v>
      </c>
    </row>
    <row r="57" spans="1:9" x14ac:dyDescent="0.2">
      <c r="A57">
        <v>1</v>
      </c>
      <c r="B57" t="s">
        <v>469</v>
      </c>
      <c r="C57">
        <v>0.103191</v>
      </c>
      <c r="G57">
        <v>1</v>
      </c>
      <c r="H57" t="s">
        <v>395</v>
      </c>
      <c r="I57">
        <v>0.41445100000000001</v>
      </c>
    </row>
    <row r="58" spans="1:9" x14ac:dyDescent="0.2">
      <c r="A58">
        <v>1</v>
      </c>
      <c r="B58" t="s">
        <v>470</v>
      </c>
      <c r="C58">
        <v>0.107903</v>
      </c>
      <c r="G58">
        <v>2</v>
      </c>
      <c r="H58" t="s">
        <v>332</v>
      </c>
      <c r="I58">
        <v>0.38046099999999999</v>
      </c>
    </row>
    <row r="59" spans="1:9" x14ac:dyDescent="0.2">
      <c r="A59">
        <v>1</v>
      </c>
      <c r="B59" t="s">
        <v>471</v>
      </c>
      <c r="C59">
        <v>0.108222</v>
      </c>
      <c r="G59">
        <v>2</v>
      </c>
      <c r="H59" t="s">
        <v>358</v>
      </c>
      <c r="I59">
        <v>0.37419599999999997</v>
      </c>
    </row>
    <row r="60" spans="1:9" x14ac:dyDescent="0.2">
      <c r="A60">
        <v>1</v>
      </c>
      <c r="B60" t="s">
        <v>472</v>
      </c>
      <c r="C60">
        <v>0.116198</v>
      </c>
      <c r="G60">
        <v>2</v>
      </c>
      <c r="H60" t="s">
        <v>355</v>
      </c>
      <c r="I60">
        <v>0.28477200000000003</v>
      </c>
    </row>
    <row r="61" spans="1:9" x14ac:dyDescent="0.2">
      <c r="A61">
        <v>1</v>
      </c>
      <c r="B61" t="s">
        <v>473</v>
      </c>
      <c r="C61">
        <v>0.12817999999999999</v>
      </c>
      <c r="G61">
        <v>2</v>
      </c>
      <c r="H61" t="s">
        <v>321</v>
      </c>
      <c r="I61">
        <v>0.243372</v>
      </c>
    </row>
    <row r="62" spans="1:9" x14ac:dyDescent="0.2">
      <c r="A62">
        <v>1</v>
      </c>
      <c r="B62" t="s">
        <v>474</v>
      </c>
      <c r="C62">
        <v>0.13344600000000001</v>
      </c>
      <c r="G62">
        <v>2</v>
      </c>
      <c r="H62" t="s">
        <v>506</v>
      </c>
      <c r="I62">
        <v>0.18586900000000001</v>
      </c>
    </row>
    <row r="63" spans="1:9" x14ac:dyDescent="0.2">
      <c r="A63">
        <v>1</v>
      </c>
      <c r="B63" t="s">
        <v>475</v>
      </c>
      <c r="C63">
        <v>0.13616700000000001</v>
      </c>
      <c r="G63">
        <v>2</v>
      </c>
      <c r="H63" t="s">
        <v>390</v>
      </c>
      <c r="I63">
        <v>0.18574099999999999</v>
      </c>
    </row>
    <row r="64" spans="1:9" x14ac:dyDescent="0.2">
      <c r="A64">
        <v>1</v>
      </c>
      <c r="B64" t="s">
        <v>476</v>
      </c>
      <c r="C64">
        <v>0.152836</v>
      </c>
      <c r="G64">
        <v>2</v>
      </c>
      <c r="H64" t="s">
        <v>391</v>
      </c>
      <c r="I64">
        <v>0.160386</v>
      </c>
    </row>
    <row r="65" spans="1:9" x14ac:dyDescent="0.2">
      <c r="A65">
        <v>1</v>
      </c>
      <c r="B65" t="s">
        <v>477</v>
      </c>
      <c r="C65">
        <v>0.156171</v>
      </c>
      <c r="G65">
        <v>2</v>
      </c>
      <c r="H65" t="s">
        <v>382</v>
      </c>
      <c r="I65">
        <v>0.15516199999999999</v>
      </c>
    </row>
    <row r="66" spans="1:9" x14ac:dyDescent="0.2">
      <c r="A66">
        <v>1</v>
      </c>
      <c r="B66" t="s">
        <v>478</v>
      </c>
      <c r="C66">
        <v>0.16456399999999999</v>
      </c>
      <c r="G66">
        <v>2</v>
      </c>
      <c r="H66" t="s">
        <v>342</v>
      </c>
      <c r="I66">
        <v>0.14509</v>
      </c>
    </row>
    <row r="67" spans="1:9" x14ac:dyDescent="0.2">
      <c r="A67">
        <v>1</v>
      </c>
      <c r="B67" t="s">
        <v>479</v>
      </c>
      <c r="C67">
        <v>0.172205</v>
      </c>
      <c r="G67">
        <v>2</v>
      </c>
      <c r="H67" t="s">
        <v>406</v>
      </c>
      <c r="I67">
        <v>0.130881</v>
      </c>
    </row>
    <row r="68" spans="1:9" x14ac:dyDescent="0.2">
      <c r="A68">
        <v>1</v>
      </c>
      <c r="B68" t="s">
        <v>480</v>
      </c>
      <c r="C68">
        <v>0.18368200000000001</v>
      </c>
      <c r="G68">
        <v>2</v>
      </c>
      <c r="H68" t="s">
        <v>333</v>
      </c>
      <c r="I68">
        <v>0.11369</v>
      </c>
    </row>
    <row r="69" spans="1:9" x14ac:dyDescent="0.2">
      <c r="A69">
        <v>1</v>
      </c>
      <c r="B69" t="s">
        <v>481</v>
      </c>
      <c r="C69">
        <v>0.187413</v>
      </c>
      <c r="G69">
        <v>2</v>
      </c>
      <c r="H69" t="s">
        <v>405</v>
      </c>
      <c r="I69">
        <v>0.108566</v>
      </c>
    </row>
    <row r="70" spans="1:9" x14ac:dyDescent="0.2">
      <c r="A70">
        <v>1</v>
      </c>
      <c r="B70" t="s">
        <v>361</v>
      </c>
      <c r="C70">
        <v>0.21229200000000001</v>
      </c>
      <c r="G70">
        <v>2</v>
      </c>
      <c r="H70" t="s">
        <v>317</v>
      </c>
      <c r="I70">
        <v>0.103784</v>
      </c>
    </row>
    <row r="71" spans="1:9" x14ac:dyDescent="0.2">
      <c r="A71">
        <v>1</v>
      </c>
      <c r="B71" t="s">
        <v>482</v>
      </c>
      <c r="C71">
        <v>0.29469899999999999</v>
      </c>
      <c r="G71">
        <v>2</v>
      </c>
      <c r="H71" t="s">
        <v>410</v>
      </c>
      <c r="I71">
        <v>8.5729299999999994E-2</v>
      </c>
    </row>
    <row r="72" spans="1:9" x14ac:dyDescent="0.2">
      <c r="A72">
        <v>1</v>
      </c>
      <c r="B72" t="s">
        <v>483</v>
      </c>
      <c r="C72">
        <v>0.32115899999999997</v>
      </c>
      <c r="G72">
        <v>2</v>
      </c>
      <c r="H72" t="s">
        <v>353</v>
      </c>
      <c r="I72">
        <v>7.8400700000000004E-2</v>
      </c>
    </row>
    <row r="73" spans="1:9" x14ac:dyDescent="0.2">
      <c r="A73">
        <v>1</v>
      </c>
      <c r="B73" t="s">
        <v>484</v>
      </c>
      <c r="C73">
        <v>0.33090799999999998</v>
      </c>
      <c r="G73">
        <v>2</v>
      </c>
      <c r="H73" t="s">
        <v>363</v>
      </c>
      <c r="I73">
        <v>7.5184100000000004E-2</v>
      </c>
    </row>
    <row r="74" spans="1:9" x14ac:dyDescent="0.2">
      <c r="A74">
        <v>1</v>
      </c>
      <c r="B74" t="s">
        <v>485</v>
      </c>
      <c r="C74">
        <v>0.360786</v>
      </c>
      <c r="G74">
        <v>2</v>
      </c>
      <c r="H74" t="s">
        <v>330</v>
      </c>
      <c r="I74">
        <v>7.4782199999999993E-2</v>
      </c>
    </row>
    <row r="75" spans="1:9" x14ac:dyDescent="0.2">
      <c r="A75">
        <v>1</v>
      </c>
      <c r="B75" t="s">
        <v>486</v>
      </c>
      <c r="C75">
        <v>0.397949</v>
      </c>
      <c r="G75">
        <v>2</v>
      </c>
      <c r="H75" t="s">
        <v>381</v>
      </c>
      <c r="I75">
        <v>6.14209E-2</v>
      </c>
    </row>
    <row r="76" spans="1:9" x14ac:dyDescent="0.2">
      <c r="A76">
        <v>2</v>
      </c>
      <c r="B76" t="s">
        <v>326</v>
      </c>
      <c r="C76">
        <v>0.43931500000000001</v>
      </c>
      <c r="G76">
        <v>2</v>
      </c>
      <c r="H76" t="s">
        <v>389</v>
      </c>
      <c r="I76">
        <v>5.6801900000000002E-2</v>
      </c>
    </row>
    <row r="77" spans="1:9" x14ac:dyDescent="0.2">
      <c r="A77">
        <v>2</v>
      </c>
      <c r="B77" t="s">
        <v>396</v>
      </c>
      <c r="C77">
        <v>0.405144</v>
      </c>
      <c r="G77">
        <v>2</v>
      </c>
      <c r="H77" t="s">
        <v>318</v>
      </c>
      <c r="I77">
        <v>4.9697699999999997E-2</v>
      </c>
    </row>
    <row r="78" spans="1:9" x14ac:dyDescent="0.2">
      <c r="A78">
        <v>2</v>
      </c>
      <c r="B78" t="s">
        <v>341</v>
      </c>
      <c r="C78">
        <v>0.30474699999999999</v>
      </c>
      <c r="G78">
        <v>2</v>
      </c>
      <c r="H78" t="s">
        <v>336</v>
      </c>
      <c r="I78">
        <v>4.5310499999999997E-2</v>
      </c>
    </row>
    <row r="79" spans="1:9" x14ac:dyDescent="0.2">
      <c r="A79">
        <v>2</v>
      </c>
      <c r="B79" t="s">
        <v>347</v>
      </c>
      <c r="C79">
        <v>0.26040000000000002</v>
      </c>
      <c r="G79">
        <v>2</v>
      </c>
      <c r="H79" t="s">
        <v>340</v>
      </c>
      <c r="I79">
        <v>4.2716400000000002E-2</v>
      </c>
    </row>
    <row r="80" spans="1:9" x14ac:dyDescent="0.2">
      <c r="A80">
        <v>2</v>
      </c>
      <c r="B80" t="s">
        <v>501</v>
      </c>
      <c r="C80">
        <v>0.2</v>
      </c>
      <c r="G80">
        <v>2</v>
      </c>
      <c r="H80" t="s">
        <v>372</v>
      </c>
      <c r="I80">
        <v>2.4752400000000001E-2</v>
      </c>
    </row>
    <row r="81" spans="1:9" x14ac:dyDescent="0.2">
      <c r="A81">
        <v>2</v>
      </c>
      <c r="B81" t="s">
        <v>365</v>
      </c>
      <c r="C81">
        <v>0.171707</v>
      </c>
      <c r="G81">
        <v>2</v>
      </c>
      <c r="H81" t="s">
        <v>383</v>
      </c>
      <c r="I81">
        <v>2.1186799999999999E-2</v>
      </c>
    </row>
    <row r="82" spans="1:9" x14ac:dyDescent="0.2">
      <c r="A82">
        <v>2</v>
      </c>
      <c r="B82" t="s">
        <v>323</v>
      </c>
      <c r="C82">
        <v>0.17078199999999999</v>
      </c>
      <c r="G82">
        <v>2</v>
      </c>
      <c r="H82" t="s">
        <v>376</v>
      </c>
      <c r="I82">
        <v>1.7308500000000001E-2</v>
      </c>
    </row>
    <row r="83" spans="1:9" x14ac:dyDescent="0.2">
      <c r="A83">
        <v>2</v>
      </c>
      <c r="B83" t="s">
        <v>387</v>
      </c>
      <c r="C83">
        <v>0.16145699999999999</v>
      </c>
      <c r="G83">
        <v>2</v>
      </c>
      <c r="H83" t="s">
        <v>368</v>
      </c>
      <c r="I83">
        <v>1.2083699999999999E-2</v>
      </c>
    </row>
    <row r="84" spans="1:9" x14ac:dyDescent="0.2">
      <c r="A84">
        <v>2</v>
      </c>
      <c r="B84" t="s">
        <v>351</v>
      </c>
      <c r="C84">
        <v>0.149425</v>
      </c>
      <c r="G84">
        <v>2</v>
      </c>
      <c r="H84" t="s">
        <v>337</v>
      </c>
      <c r="I84">
        <v>3.1711399999999998E-3</v>
      </c>
    </row>
    <row r="85" spans="1:9" x14ac:dyDescent="0.2">
      <c r="A85">
        <v>2</v>
      </c>
      <c r="B85" t="s">
        <v>335</v>
      </c>
      <c r="C85">
        <v>0.13239999999999999</v>
      </c>
      <c r="G85">
        <v>2</v>
      </c>
      <c r="H85" t="s">
        <v>315</v>
      </c>
      <c r="I85">
        <v>0</v>
      </c>
    </row>
    <row r="86" spans="1:9" x14ac:dyDescent="0.2">
      <c r="A86">
        <v>2</v>
      </c>
      <c r="B86" t="s">
        <v>320</v>
      </c>
      <c r="C86">
        <v>0.129854</v>
      </c>
    </row>
    <row r="87" spans="1:9" x14ac:dyDescent="0.2">
      <c r="A87">
        <v>2</v>
      </c>
      <c r="B87" t="s">
        <v>409</v>
      </c>
      <c r="C87">
        <v>0.118279</v>
      </c>
      <c r="G87">
        <v>1</v>
      </c>
      <c r="H87" t="s">
        <v>537</v>
      </c>
      <c r="I87">
        <v>0.70633599999999996</v>
      </c>
    </row>
    <row r="88" spans="1:9" x14ac:dyDescent="0.2">
      <c r="A88">
        <v>2</v>
      </c>
      <c r="B88" t="s">
        <v>502</v>
      </c>
      <c r="C88">
        <v>0.107893</v>
      </c>
      <c r="G88">
        <v>1</v>
      </c>
      <c r="H88" t="s">
        <v>538</v>
      </c>
      <c r="I88">
        <v>0.80247999999999997</v>
      </c>
    </row>
    <row r="89" spans="1:9" x14ac:dyDescent="0.2">
      <c r="A89">
        <v>2</v>
      </c>
      <c r="B89" t="s">
        <v>392</v>
      </c>
      <c r="C89">
        <v>0.1</v>
      </c>
      <c r="G89">
        <v>1</v>
      </c>
      <c r="H89" t="s">
        <v>389</v>
      </c>
      <c r="I89">
        <v>0.83523800000000004</v>
      </c>
    </row>
    <row r="90" spans="1:9" x14ac:dyDescent="0.2">
      <c r="A90">
        <v>2</v>
      </c>
      <c r="B90" t="s">
        <v>404</v>
      </c>
      <c r="C90">
        <v>7.4730099999999994E-2</v>
      </c>
      <c r="G90">
        <v>1</v>
      </c>
      <c r="H90" t="s">
        <v>315</v>
      </c>
      <c r="I90">
        <v>0.9</v>
      </c>
    </row>
    <row r="91" spans="1:9" x14ac:dyDescent="0.2">
      <c r="A91">
        <v>2</v>
      </c>
      <c r="B91" t="s">
        <v>402</v>
      </c>
      <c r="C91">
        <v>3.31201E-2</v>
      </c>
      <c r="G91">
        <v>1</v>
      </c>
      <c r="H91" t="s">
        <v>539</v>
      </c>
      <c r="I91">
        <v>0.97984899999999997</v>
      </c>
    </row>
    <row r="92" spans="1:9" x14ac:dyDescent="0.2">
      <c r="A92">
        <v>2</v>
      </c>
      <c r="B92" t="s">
        <v>371</v>
      </c>
      <c r="C92">
        <v>2.9071799999999998E-2</v>
      </c>
      <c r="G92">
        <v>1</v>
      </c>
      <c r="H92" t="s">
        <v>340</v>
      </c>
      <c r="I92">
        <v>1.00061</v>
      </c>
    </row>
    <row r="93" spans="1:9" x14ac:dyDescent="0.2">
      <c r="A93">
        <v>2</v>
      </c>
      <c r="B93" t="s">
        <v>361</v>
      </c>
      <c r="C93">
        <v>0</v>
      </c>
      <c r="G93">
        <v>1</v>
      </c>
      <c r="H93" t="s">
        <v>540</v>
      </c>
      <c r="I93">
        <v>1.0457700000000001</v>
      </c>
    </row>
    <row r="94" spans="1:9" x14ac:dyDescent="0.2">
      <c r="A94">
        <v>2</v>
      </c>
      <c r="B94" t="s">
        <v>369</v>
      </c>
      <c r="C94">
        <v>0</v>
      </c>
      <c r="G94">
        <v>1</v>
      </c>
      <c r="H94" t="s">
        <v>353</v>
      </c>
      <c r="I94">
        <v>1.0808</v>
      </c>
    </row>
    <row r="95" spans="1:9" x14ac:dyDescent="0.2">
      <c r="A95">
        <v>2</v>
      </c>
      <c r="B95" t="s">
        <v>349</v>
      </c>
      <c r="C95">
        <v>0</v>
      </c>
      <c r="G95">
        <v>1</v>
      </c>
      <c r="H95" t="s">
        <v>541</v>
      </c>
      <c r="I95">
        <v>1.1231599999999999</v>
      </c>
    </row>
    <row r="96" spans="1:9" x14ac:dyDescent="0.2">
      <c r="A96">
        <v>2</v>
      </c>
      <c r="B96" t="s">
        <v>375</v>
      </c>
      <c r="C96">
        <v>0</v>
      </c>
      <c r="G96">
        <v>1</v>
      </c>
      <c r="H96" t="s">
        <v>542</v>
      </c>
      <c r="I96">
        <v>1.14889</v>
      </c>
    </row>
    <row r="97" spans="1:9" x14ac:dyDescent="0.2">
      <c r="A97">
        <v>2</v>
      </c>
      <c r="B97" t="s">
        <v>348</v>
      </c>
      <c r="C97">
        <v>0</v>
      </c>
      <c r="G97">
        <v>1</v>
      </c>
      <c r="H97" t="s">
        <v>403</v>
      </c>
      <c r="I97">
        <v>1.23282</v>
      </c>
    </row>
    <row r="98" spans="1:9" x14ac:dyDescent="0.2">
      <c r="A98">
        <v>2</v>
      </c>
      <c r="B98" t="s">
        <v>370</v>
      </c>
      <c r="C98">
        <v>0</v>
      </c>
      <c r="G98">
        <v>1</v>
      </c>
      <c r="H98" t="s">
        <v>377</v>
      </c>
      <c r="I98">
        <v>1.2357</v>
      </c>
    </row>
    <row r="99" spans="1:9" x14ac:dyDescent="0.2">
      <c r="A99">
        <v>2</v>
      </c>
      <c r="B99" t="s">
        <v>352</v>
      </c>
      <c r="C99">
        <v>0</v>
      </c>
      <c r="G99">
        <v>1</v>
      </c>
      <c r="H99" t="s">
        <v>543</v>
      </c>
      <c r="I99">
        <v>1.23783</v>
      </c>
    </row>
    <row r="100" spans="1:9" x14ac:dyDescent="0.2">
      <c r="A100">
        <v>2</v>
      </c>
      <c r="B100" t="s">
        <v>357</v>
      </c>
      <c r="C100">
        <v>0</v>
      </c>
      <c r="G100">
        <v>1</v>
      </c>
      <c r="H100" t="s">
        <v>544</v>
      </c>
      <c r="I100">
        <v>1.2930299999999999</v>
      </c>
    </row>
    <row r="101" spans="1:9" x14ac:dyDescent="0.2">
      <c r="A101">
        <v>2</v>
      </c>
      <c r="B101" t="s">
        <v>362</v>
      </c>
      <c r="C101">
        <v>0</v>
      </c>
      <c r="G101">
        <v>1</v>
      </c>
      <c r="H101" t="s">
        <v>370</v>
      </c>
      <c r="I101">
        <v>1.3165800000000001</v>
      </c>
    </row>
    <row r="102" spans="1:9" x14ac:dyDescent="0.2">
      <c r="A102">
        <v>2</v>
      </c>
      <c r="B102" t="s">
        <v>356</v>
      </c>
      <c r="C102">
        <v>0</v>
      </c>
      <c r="G102">
        <v>1</v>
      </c>
      <c r="H102" t="s">
        <v>545</v>
      </c>
      <c r="I102">
        <v>1.35042</v>
      </c>
    </row>
    <row r="103" spans="1:9" x14ac:dyDescent="0.2">
      <c r="A103">
        <v>2</v>
      </c>
      <c r="B103" t="s">
        <v>359</v>
      </c>
      <c r="C103">
        <v>0</v>
      </c>
      <c r="G103">
        <v>1</v>
      </c>
      <c r="H103" t="s">
        <v>317</v>
      </c>
      <c r="I103">
        <v>1.38598</v>
      </c>
    </row>
    <row r="104" spans="1:9" x14ac:dyDescent="0.2">
      <c r="A104">
        <v>2</v>
      </c>
      <c r="B104" t="s">
        <v>384</v>
      </c>
      <c r="C104">
        <v>0</v>
      </c>
      <c r="G104">
        <v>1</v>
      </c>
      <c r="H104" t="s">
        <v>546</v>
      </c>
      <c r="I104">
        <v>1.39059</v>
      </c>
    </row>
    <row r="105" spans="1:9" x14ac:dyDescent="0.2">
      <c r="A105">
        <v>2</v>
      </c>
      <c r="B105" t="s">
        <v>329</v>
      </c>
      <c r="C105">
        <v>0</v>
      </c>
      <c r="G105">
        <v>1</v>
      </c>
      <c r="H105" t="s">
        <v>547</v>
      </c>
      <c r="I105">
        <v>1.4040600000000001</v>
      </c>
    </row>
    <row r="106" spans="1:9" x14ac:dyDescent="0.2">
      <c r="A106">
        <v>2</v>
      </c>
      <c r="B106" t="s">
        <v>327</v>
      </c>
      <c r="C106">
        <v>0</v>
      </c>
      <c r="G106">
        <v>1</v>
      </c>
      <c r="H106" t="s">
        <v>548</v>
      </c>
      <c r="I106">
        <v>1.4460500000000001</v>
      </c>
    </row>
    <row r="107" spans="1:9" x14ac:dyDescent="0.2">
      <c r="A107">
        <v>2</v>
      </c>
      <c r="B107" t="s">
        <v>331</v>
      </c>
      <c r="C107">
        <v>0</v>
      </c>
      <c r="G107">
        <v>1</v>
      </c>
      <c r="H107" t="s">
        <v>549</v>
      </c>
      <c r="I107">
        <v>1.5038499999999999</v>
      </c>
    </row>
    <row r="108" spans="1:9" x14ac:dyDescent="0.2">
      <c r="A108">
        <v>2</v>
      </c>
      <c r="B108" t="s">
        <v>394</v>
      </c>
      <c r="C108">
        <v>0</v>
      </c>
      <c r="G108">
        <v>1</v>
      </c>
      <c r="H108" t="s">
        <v>506</v>
      </c>
      <c r="I108">
        <v>1.5191300000000001</v>
      </c>
    </row>
    <row r="109" spans="1:9" x14ac:dyDescent="0.2">
      <c r="A109">
        <v>2</v>
      </c>
      <c r="B109" t="s">
        <v>400</v>
      </c>
      <c r="C109">
        <v>0</v>
      </c>
      <c r="G109">
        <v>1</v>
      </c>
      <c r="H109" t="s">
        <v>337</v>
      </c>
      <c r="I109">
        <v>1.6335999999999999</v>
      </c>
    </row>
    <row r="110" spans="1:9" x14ac:dyDescent="0.2">
      <c r="A110">
        <v>2</v>
      </c>
      <c r="B110" t="s">
        <v>343</v>
      </c>
      <c r="C110">
        <v>0</v>
      </c>
      <c r="G110">
        <v>1</v>
      </c>
      <c r="H110" t="s">
        <v>550</v>
      </c>
      <c r="I110">
        <v>1.7697700000000001</v>
      </c>
    </row>
    <row r="111" spans="1:9" x14ac:dyDescent="0.2">
      <c r="A111">
        <v>2</v>
      </c>
      <c r="B111" t="s">
        <v>407</v>
      </c>
      <c r="C111">
        <v>0</v>
      </c>
      <c r="G111">
        <v>1</v>
      </c>
      <c r="H111" t="s">
        <v>551</v>
      </c>
      <c r="I111">
        <v>1.86402</v>
      </c>
    </row>
    <row r="112" spans="1:9" x14ac:dyDescent="0.2">
      <c r="A112">
        <v>2</v>
      </c>
      <c r="B112" t="s">
        <v>334</v>
      </c>
      <c r="C112">
        <v>0</v>
      </c>
      <c r="G112">
        <v>1</v>
      </c>
      <c r="H112" t="s">
        <v>552</v>
      </c>
      <c r="I112">
        <v>1.91899</v>
      </c>
    </row>
    <row r="113" spans="1:9" x14ac:dyDescent="0.2">
      <c r="A113">
        <v>2</v>
      </c>
      <c r="B113" t="s">
        <v>346</v>
      </c>
      <c r="C113">
        <v>0</v>
      </c>
      <c r="G113">
        <v>1</v>
      </c>
      <c r="H113" t="s">
        <v>553</v>
      </c>
      <c r="I113">
        <v>1.9369799999999999</v>
      </c>
    </row>
    <row r="114" spans="1:9" x14ac:dyDescent="0.2">
      <c r="G114">
        <v>1</v>
      </c>
      <c r="H114" t="s">
        <v>554</v>
      </c>
      <c r="I114">
        <v>2.1177600000000001</v>
      </c>
    </row>
    <row r="115" spans="1:9" x14ac:dyDescent="0.2">
      <c r="A115">
        <v>1</v>
      </c>
      <c r="B115" t="s">
        <v>487</v>
      </c>
      <c r="C115">
        <v>0.69761799999999996</v>
      </c>
      <c r="G115">
        <v>2</v>
      </c>
      <c r="H115" t="s">
        <v>403</v>
      </c>
      <c r="I115">
        <v>1.42493</v>
      </c>
    </row>
    <row r="116" spans="1:9" x14ac:dyDescent="0.2">
      <c r="A116">
        <v>1</v>
      </c>
      <c r="B116" t="s">
        <v>488</v>
      </c>
      <c r="C116">
        <v>0.75022500000000003</v>
      </c>
      <c r="G116">
        <v>2</v>
      </c>
      <c r="H116" t="s">
        <v>364</v>
      </c>
      <c r="I116">
        <v>1.2915300000000001</v>
      </c>
    </row>
    <row r="117" spans="1:9" x14ac:dyDescent="0.2">
      <c r="A117">
        <v>1</v>
      </c>
      <c r="B117" t="s">
        <v>489</v>
      </c>
      <c r="C117">
        <v>0.89289700000000005</v>
      </c>
      <c r="G117">
        <v>2</v>
      </c>
      <c r="H117" t="s">
        <v>360</v>
      </c>
      <c r="I117">
        <v>1.2502</v>
      </c>
    </row>
    <row r="118" spans="1:9" x14ac:dyDescent="0.2">
      <c r="A118">
        <v>1</v>
      </c>
      <c r="B118" t="s">
        <v>490</v>
      </c>
      <c r="C118">
        <v>0.95548500000000003</v>
      </c>
      <c r="G118">
        <v>2</v>
      </c>
      <c r="H118" t="s">
        <v>393</v>
      </c>
      <c r="I118">
        <v>1.2351300000000001</v>
      </c>
    </row>
    <row r="119" spans="1:9" x14ac:dyDescent="0.2">
      <c r="A119">
        <v>1</v>
      </c>
      <c r="B119" t="s">
        <v>491</v>
      </c>
      <c r="C119">
        <v>1.00075</v>
      </c>
      <c r="G119">
        <v>2</v>
      </c>
      <c r="H119" t="s">
        <v>504</v>
      </c>
      <c r="I119">
        <v>1.00688</v>
      </c>
    </row>
    <row r="120" spans="1:9" x14ac:dyDescent="0.2">
      <c r="A120">
        <v>1</v>
      </c>
      <c r="B120" t="s">
        <v>492</v>
      </c>
      <c r="C120">
        <v>1.11941</v>
      </c>
      <c r="G120">
        <v>2</v>
      </c>
      <c r="H120" t="s">
        <v>313</v>
      </c>
      <c r="I120">
        <v>0.98375299999999999</v>
      </c>
    </row>
    <row r="121" spans="1:9" x14ac:dyDescent="0.2">
      <c r="A121">
        <v>1</v>
      </c>
      <c r="B121" t="s">
        <v>493</v>
      </c>
      <c r="C121">
        <v>1.18123</v>
      </c>
      <c r="G121">
        <v>2</v>
      </c>
      <c r="H121" t="s">
        <v>379</v>
      </c>
      <c r="I121">
        <v>0.96753999999999996</v>
      </c>
    </row>
    <row r="122" spans="1:9" x14ac:dyDescent="0.2">
      <c r="A122">
        <v>1</v>
      </c>
      <c r="B122" t="s">
        <v>376</v>
      </c>
      <c r="C122">
        <v>1.48275</v>
      </c>
      <c r="G122">
        <v>2</v>
      </c>
      <c r="H122" t="s">
        <v>324</v>
      </c>
      <c r="I122">
        <v>0.914605</v>
      </c>
    </row>
    <row r="123" spans="1:9" x14ac:dyDescent="0.2">
      <c r="A123">
        <v>1</v>
      </c>
      <c r="B123" t="s">
        <v>494</v>
      </c>
      <c r="C123">
        <v>1.5156799999999999</v>
      </c>
      <c r="G123">
        <v>2</v>
      </c>
      <c r="H123" t="s">
        <v>377</v>
      </c>
      <c r="I123">
        <v>0.87722999999999995</v>
      </c>
    </row>
    <row r="124" spans="1:9" x14ac:dyDescent="0.2">
      <c r="A124">
        <v>1</v>
      </c>
      <c r="B124" t="s">
        <v>495</v>
      </c>
      <c r="C124">
        <v>1.54687</v>
      </c>
      <c r="G124">
        <v>2</v>
      </c>
      <c r="H124" t="s">
        <v>374</v>
      </c>
      <c r="I124">
        <v>0.85998399999999997</v>
      </c>
    </row>
    <row r="125" spans="1:9" x14ac:dyDescent="0.2">
      <c r="A125">
        <v>1</v>
      </c>
      <c r="B125" t="s">
        <v>496</v>
      </c>
      <c r="C125">
        <v>1.6085700000000001</v>
      </c>
      <c r="G125">
        <v>2</v>
      </c>
      <c r="H125" t="s">
        <v>316</v>
      </c>
      <c r="I125">
        <v>0.82146399999999997</v>
      </c>
    </row>
    <row r="126" spans="1:9" x14ac:dyDescent="0.2">
      <c r="A126">
        <v>1</v>
      </c>
      <c r="B126" t="s">
        <v>497</v>
      </c>
      <c r="C126">
        <v>1.6373899999999999</v>
      </c>
      <c r="G126">
        <v>2</v>
      </c>
      <c r="H126" t="s">
        <v>408</v>
      </c>
      <c r="I126">
        <v>0.81795300000000004</v>
      </c>
    </row>
    <row r="127" spans="1:9" x14ac:dyDescent="0.2">
      <c r="A127">
        <v>1</v>
      </c>
      <c r="B127" t="s">
        <v>498</v>
      </c>
      <c r="C127">
        <v>1.7054</v>
      </c>
      <c r="G127">
        <v>2</v>
      </c>
      <c r="H127" t="s">
        <v>398</v>
      </c>
      <c r="I127">
        <v>0.77930500000000003</v>
      </c>
    </row>
    <row r="128" spans="1:9" x14ac:dyDescent="0.2">
      <c r="A128">
        <v>1</v>
      </c>
      <c r="B128" t="s">
        <v>499</v>
      </c>
      <c r="C128">
        <v>2.21393</v>
      </c>
      <c r="G128">
        <v>2</v>
      </c>
      <c r="H128" t="s">
        <v>399</v>
      </c>
      <c r="I128">
        <v>0.75944900000000004</v>
      </c>
    </row>
    <row r="129" spans="1:9" x14ac:dyDescent="0.2">
      <c r="A129">
        <v>2</v>
      </c>
      <c r="B129" t="s">
        <v>314</v>
      </c>
      <c r="C129">
        <v>1.19319</v>
      </c>
      <c r="G129">
        <v>2</v>
      </c>
      <c r="H129" t="s">
        <v>328</v>
      </c>
      <c r="I129">
        <v>0.73285299999999998</v>
      </c>
    </row>
    <row r="130" spans="1:9" x14ac:dyDescent="0.2">
      <c r="A130">
        <v>2</v>
      </c>
      <c r="B130" t="s">
        <v>338</v>
      </c>
      <c r="C130">
        <v>1.13249</v>
      </c>
      <c r="G130">
        <v>2</v>
      </c>
      <c r="H130" t="s">
        <v>350</v>
      </c>
      <c r="I130">
        <v>0.73272300000000001</v>
      </c>
    </row>
    <row r="131" spans="1:9" x14ac:dyDescent="0.2">
      <c r="A131">
        <v>2</v>
      </c>
      <c r="B131" t="s">
        <v>319</v>
      </c>
      <c r="C131">
        <v>0.93865500000000002</v>
      </c>
      <c r="G131">
        <v>2</v>
      </c>
      <c r="H131" t="s">
        <v>322</v>
      </c>
      <c r="I131">
        <v>0.73088699999999995</v>
      </c>
    </row>
    <row r="132" spans="1:9" x14ac:dyDescent="0.2">
      <c r="A132">
        <v>2</v>
      </c>
      <c r="B132" t="s">
        <v>388</v>
      </c>
      <c r="C132">
        <v>0.92371099999999995</v>
      </c>
      <c r="G132">
        <v>2</v>
      </c>
      <c r="H132" t="s">
        <v>380</v>
      </c>
      <c r="I132">
        <v>0.71645499999999995</v>
      </c>
    </row>
    <row r="133" spans="1:9" x14ac:dyDescent="0.2">
      <c r="A133">
        <v>2</v>
      </c>
      <c r="B133" t="s">
        <v>325</v>
      </c>
      <c r="C133">
        <v>0.85051100000000002</v>
      </c>
      <c r="G133">
        <v>2</v>
      </c>
      <c r="H133" t="s">
        <v>395</v>
      </c>
      <c r="I133">
        <v>0.64893699999999999</v>
      </c>
    </row>
    <row r="134" spans="1:9" x14ac:dyDescent="0.2">
      <c r="A134">
        <v>2</v>
      </c>
      <c r="B134" t="s">
        <v>386</v>
      </c>
      <c r="C134">
        <v>0.83636900000000003</v>
      </c>
      <c r="G134">
        <v>2</v>
      </c>
      <c r="H134" t="s">
        <v>354</v>
      </c>
      <c r="I134">
        <v>0.63589200000000001</v>
      </c>
    </row>
    <row r="135" spans="1:9" x14ac:dyDescent="0.2">
      <c r="A135">
        <v>2</v>
      </c>
      <c r="B135" t="s">
        <v>345</v>
      </c>
      <c r="C135">
        <v>0.77386900000000003</v>
      </c>
      <c r="G135">
        <v>2</v>
      </c>
      <c r="H135" t="s">
        <v>505</v>
      </c>
      <c r="I135">
        <v>0.533308</v>
      </c>
    </row>
    <row r="136" spans="1:9" x14ac:dyDescent="0.2">
      <c r="A136">
        <v>2</v>
      </c>
      <c r="B136" t="s">
        <v>503</v>
      </c>
      <c r="C136">
        <v>0.70865900000000004</v>
      </c>
      <c r="G136">
        <v>2</v>
      </c>
      <c r="H136" t="s">
        <v>378</v>
      </c>
      <c r="I136">
        <v>0.52502899999999997</v>
      </c>
    </row>
    <row r="137" spans="1:9" x14ac:dyDescent="0.2">
      <c r="A137">
        <v>2</v>
      </c>
      <c r="B137" t="s">
        <v>385</v>
      </c>
      <c r="C137">
        <v>0.697967</v>
      </c>
    </row>
    <row r="138" spans="1:9" x14ac:dyDescent="0.2">
      <c r="A138">
        <v>2</v>
      </c>
      <c r="B138" t="s">
        <v>401</v>
      </c>
      <c r="C138">
        <v>0.58790699999999996</v>
      </c>
    </row>
    <row r="139" spans="1:9" x14ac:dyDescent="0.2">
      <c r="A139">
        <v>2</v>
      </c>
      <c r="B139" t="s">
        <v>344</v>
      </c>
      <c r="C139">
        <v>0.56213400000000002</v>
      </c>
    </row>
    <row r="140" spans="1:9" x14ac:dyDescent="0.2">
      <c r="A140">
        <v>2</v>
      </c>
      <c r="B140" t="s">
        <v>397</v>
      </c>
      <c r="C140">
        <v>0.5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3EBE3-0782-2441-8F40-E8B90431E373}">
  <dimension ref="A1:DL35"/>
  <sheetViews>
    <sheetView workbookViewId="0">
      <selection activeCell="AM33" sqref="AM33"/>
    </sheetView>
  </sheetViews>
  <sheetFormatPr baseColWidth="10" defaultRowHeight="16" x14ac:dyDescent="0.2"/>
  <sheetData>
    <row r="1" spans="1:116" x14ac:dyDescent="0.2">
      <c r="A1" s="1" t="s">
        <v>689</v>
      </c>
    </row>
    <row r="2" spans="1:116" x14ac:dyDescent="0.2">
      <c r="B2" t="s">
        <v>574</v>
      </c>
    </row>
    <row r="3" spans="1:116" x14ac:dyDescent="0.2">
      <c r="C3" s="1" t="s">
        <v>571</v>
      </c>
      <c r="D3" s="1" t="s">
        <v>572</v>
      </c>
      <c r="E3" s="1" t="s">
        <v>573</v>
      </c>
      <c r="G3" s="1" t="s">
        <v>687</v>
      </c>
    </row>
    <row r="4" spans="1:116" x14ac:dyDescent="0.2">
      <c r="B4" s="1" t="s">
        <v>564</v>
      </c>
      <c r="C4">
        <v>58.995699999999999</v>
      </c>
      <c r="D4">
        <v>35.996000000000002</v>
      </c>
      <c r="E4">
        <v>5.0082800000000001</v>
      </c>
      <c r="G4" t="s">
        <v>688</v>
      </c>
    </row>
    <row r="5" spans="1:116" x14ac:dyDescent="0.2">
      <c r="B5" s="1" t="s">
        <v>570</v>
      </c>
      <c r="C5">
        <v>10.394600000000001</v>
      </c>
      <c r="D5">
        <v>68.292699999999996</v>
      </c>
      <c r="E5">
        <v>21.3127</v>
      </c>
    </row>
    <row r="15" spans="1:116" x14ac:dyDescent="0.2">
      <c r="C15" s="8"/>
      <c r="D15" s="8"/>
      <c r="E15" s="8"/>
      <c r="F15" s="8"/>
      <c r="G15" s="8"/>
      <c r="H15" s="8"/>
      <c r="I15" s="8"/>
      <c r="J15" s="8" t="s">
        <v>684</v>
      </c>
      <c r="K15" s="8"/>
      <c r="L15" s="8"/>
      <c r="M15" s="8"/>
      <c r="N15" s="8"/>
      <c r="O15" s="8"/>
      <c r="P15" s="8"/>
      <c r="Q15" s="8"/>
      <c r="R15" s="8"/>
    </row>
    <row r="16" spans="1:116" s="5" customFormat="1" ht="210" x14ac:dyDescent="0.2">
      <c r="B16" s="5" t="s">
        <v>682</v>
      </c>
      <c r="C16" s="9" t="s">
        <v>575</v>
      </c>
      <c r="D16" s="9" t="s">
        <v>576</v>
      </c>
      <c r="E16" s="9" t="s">
        <v>577</v>
      </c>
      <c r="F16" s="9" t="s">
        <v>578</v>
      </c>
      <c r="G16" s="9" t="s">
        <v>579</v>
      </c>
      <c r="H16" s="9" t="s">
        <v>580</v>
      </c>
      <c r="I16" s="9" t="s">
        <v>581</v>
      </c>
      <c r="J16" s="9" t="s">
        <v>582</v>
      </c>
      <c r="K16" s="9" t="s">
        <v>583</v>
      </c>
      <c r="L16" s="9" t="s">
        <v>584</v>
      </c>
      <c r="M16" s="9" t="s">
        <v>585</v>
      </c>
      <c r="N16" s="9" t="s">
        <v>586</v>
      </c>
      <c r="O16" s="9" t="s">
        <v>587</v>
      </c>
      <c r="P16" s="9" t="s">
        <v>588</v>
      </c>
      <c r="Q16" s="9" t="s">
        <v>589</v>
      </c>
      <c r="R16" s="9" t="s">
        <v>590</v>
      </c>
      <c r="S16" s="5" t="s">
        <v>591</v>
      </c>
      <c r="T16" s="5" t="s">
        <v>592</v>
      </c>
      <c r="U16" s="5" t="s">
        <v>593</v>
      </c>
      <c r="V16" s="5" t="s">
        <v>594</v>
      </c>
      <c r="W16" s="5" t="s">
        <v>595</v>
      </c>
      <c r="X16" s="5" t="s">
        <v>596</v>
      </c>
      <c r="Y16" s="5" t="s">
        <v>597</v>
      </c>
      <c r="Z16" s="5" t="s">
        <v>598</v>
      </c>
      <c r="AA16" s="5" t="s">
        <v>599</v>
      </c>
      <c r="AB16" s="5" t="s">
        <v>600</v>
      </c>
      <c r="AC16" s="5" t="s">
        <v>601</v>
      </c>
      <c r="AD16" s="5" t="s">
        <v>602</v>
      </c>
      <c r="AE16" s="5" t="s">
        <v>603</v>
      </c>
      <c r="AF16" s="5" t="s">
        <v>604</v>
      </c>
      <c r="AG16" s="5" t="s">
        <v>605</v>
      </c>
      <c r="AH16" s="5" t="s">
        <v>606</v>
      </c>
      <c r="AI16" s="5" t="s">
        <v>607</v>
      </c>
      <c r="AJ16" s="5" t="s">
        <v>608</v>
      </c>
      <c r="AK16" s="5" t="s">
        <v>609</v>
      </c>
      <c r="AL16" s="5" t="s">
        <v>610</v>
      </c>
      <c r="AM16" s="6" t="s">
        <v>611</v>
      </c>
      <c r="AN16" s="5" t="s">
        <v>612</v>
      </c>
      <c r="AO16" s="5" t="s">
        <v>613</v>
      </c>
      <c r="AP16" s="5" t="s">
        <v>614</v>
      </c>
      <c r="AQ16" s="5" t="s">
        <v>615</v>
      </c>
      <c r="AR16" s="5" t="s">
        <v>616</v>
      </c>
      <c r="AS16" s="5" t="s">
        <v>617</v>
      </c>
      <c r="AT16" s="5" t="s">
        <v>618</v>
      </c>
      <c r="AU16" s="5" t="s">
        <v>619</v>
      </c>
      <c r="AV16" s="5" t="s">
        <v>620</v>
      </c>
      <c r="AW16" s="5" t="s">
        <v>621</v>
      </c>
      <c r="AX16" s="5" t="s">
        <v>622</v>
      </c>
      <c r="AY16" s="5" t="s">
        <v>623</v>
      </c>
      <c r="AZ16" s="5" t="s">
        <v>624</v>
      </c>
      <c r="BA16" s="5" t="s">
        <v>625</v>
      </c>
      <c r="BB16" s="5" t="s">
        <v>626</v>
      </c>
      <c r="BC16" s="5" t="s">
        <v>627</v>
      </c>
      <c r="BD16" s="5" t="s">
        <v>628</v>
      </c>
      <c r="BE16" s="5" t="s">
        <v>629</v>
      </c>
      <c r="BF16" s="5" t="s">
        <v>630</v>
      </c>
      <c r="BG16" s="5" t="s">
        <v>631</v>
      </c>
      <c r="BH16" s="5" t="s">
        <v>632</v>
      </c>
      <c r="BI16" s="5" t="s">
        <v>633</v>
      </c>
      <c r="BJ16" s="5" t="s">
        <v>634</v>
      </c>
      <c r="BK16" s="5" t="s">
        <v>635</v>
      </c>
      <c r="BL16" s="5" t="s">
        <v>636</v>
      </c>
      <c r="BM16" s="5" t="s">
        <v>637</v>
      </c>
      <c r="BN16" s="5" t="s">
        <v>638</v>
      </c>
      <c r="BO16" s="5" t="s">
        <v>639</v>
      </c>
      <c r="BP16" s="5" t="s">
        <v>640</v>
      </c>
      <c r="BQ16" s="5" t="s">
        <v>641</v>
      </c>
      <c r="BR16" s="5" t="s">
        <v>642</v>
      </c>
      <c r="BS16" s="5" t="s">
        <v>643</v>
      </c>
      <c r="BT16" s="5" t="s">
        <v>644</v>
      </c>
      <c r="BU16" s="5" t="s">
        <v>645</v>
      </c>
      <c r="BV16" s="5" t="s">
        <v>646</v>
      </c>
      <c r="BW16" s="5" t="s">
        <v>647</v>
      </c>
      <c r="BX16" s="5" t="s">
        <v>648</v>
      </c>
      <c r="BY16" s="5" t="s">
        <v>649</v>
      </c>
      <c r="BZ16" s="5" t="s">
        <v>650</v>
      </c>
      <c r="CA16" s="5" t="s">
        <v>651</v>
      </c>
      <c r="CB16" s="5" t="s">
        <v>652</v>
      </c>
      <c r="CC16" s="5" t="s">
        <v>653</v>
      </c>
      <c r="CD16" s="5" t="s">
        <v>654</v>
      </c>
      <c r="CE16" s="5" t="s">
        <v>655</v>
      </c>
      <c r="CF16" s="5" t="s">
        <v>656</v>
      </c>
      <c r="CG16" s="5" t="s">
        <v>657</v>
      </c>
      <c r="CH16" s="5" t="s">
        <v>658</v>
      </c>
      <c r="CI16" s="5" t="s">
        <v>659</v>
      </c>
      <c r="CJ16" s="5" t="s">
        <v>660</v>
      </c>
      <c r="CK16" s="5" t="s">
        <v>661</v>
      </c>
      <c r="CL16" s="5" t="s">
        <v>662</v>
      </c>
      <c r="CM16" s="5" t="s">
        <v>663</v>
      </c>
      <c r="CN16" s="5" t="s">
        <v>664</v>
      </c>
      <c r="CO16" s="5" t="s">
        <v>665</v>
      </c>
      <c r="CP16" s="5" t="s">
        <v>666</v>
      </c>
      <c r="CQ16" s="5" t="s">
        <v>667</v>
      </c>
      <c r="CR16" s="5" t="s">
        <v>668</v>
      </c>
      <c r="CS16" s="5" t="s">
        <v>669</v>
      </c>
      <c r="CT16" s="5" t="s">
        <v>670</v>
      </c>
      <c r="CU16" s="5" t="s">
        <v>671</v>
      </c>
      <c r="CV16" s="5" t="s">
        <v>672</v>
      </c>
      <c r="CW16" s="5" t="s">
        <v>673</v>
      </c>
      <c r="CX16" s="5" t="s">
        <v>674</v>
      </c>
      <c r="CY16" s="5" t="s">
        <v>675</v>
      </c>
      <c r="CZ16" s="5" t="s">
        <v>676</v>
      </c>
      <c r="DA16" s="5" t="s">
        <v>677</v>
      </c>
      <c r="DB16" s="5" t="s">
        <v>678</v>
      </c>
      <c r="DC16" s="5" t="s">
        <v>679</v>
      </c>
      <c r="DD16" s="5" t="s">
        <v>680</v>
      </c>
      <c r="DF16" s="7" t="s">
        <v>681</v>
      </c>
      <c r="DG16"/>
      <c r="DH16"/>
      <c r="DI16"/>
      <c r="DJ16"/>
      <c r="DK16"/>
      <c r="DL16"/>
    </row>
    <row r="18" spans="2:108" x14ac:dyDescent="0.2">
      <c r="B18" t="s">
        <v>571</v>
      </c>
      <c r="C18">
        <v>16</v>
      </c>
      <c r="D18">
        <v>14</v>
      </c>
      <c r="E18">
        <v>8</v>
      </c>
      <c r="F18">
        <v>0</v>
      </c>
      <c r="G18">
        <v>23</v>
      </c>
      <c r="H18">
        <v>11</v>
      </c>
      <c r="I18">
        <v>4</v>
      </c>
      <c r="J18">
        <v>0</v>
      </c>
      <c r="K18">
        <v>16</v>
      </c>
      <c r="L18">
        <v>8</v>
      </c>
      <c r="M18">
        <v>17</v>
      </c>
      <c r="N18">
        <v>13</v>
      </c>
      <c r="O18">
        <v>16</v>
      </c>
      <c r="P18">
        <v>12</v>
      </c>
      <c r="Q18">
        <v>19</v>
      </c>
      <c r="R18">
        <v>13</v>
      </c>
      <c r="S18">
        <v>0</v>
      </c>
      <c r="T18">
        <v>5</v>
      </c>
      <c r="U18">
        <v>0</v>
      </c>
      <c r="V18">
        <v>0</v>
      </c>
      <c r="W18">
        <v>0</v>
      </c>
      <c r="X18">
        <v>0</v>
      </c>
      <c r="Y18">
        <v>0</v>
      </c>
      <c r="Z18">
        <v>6</v>
      </c>
      <c r="AA18">
        <v>0</v>
      </c>
      <c r="AB18">
        <v>0</v>
      </c>
      <c r="AC18">
        <v>0</v>
      </c>
      <c r="AD18">
        <v>0</v>
      </c>
      <c r="AE18">
        <v>3</v>
      </c>
      <c r="AF18">
        <v>1</v>
      </c>
      <c r="AG18">
        <v>7</v>
      </c>
      <c r="AH18">
        <v>0</v>
      </c>
      <c r="AI18">
        <v>8</v>
      </c>
      <c r="AJ18">
        <v>1</v>
      </c>
      <c r="AK18">
        <v>9</v>
      </c>
      <c r="AL18">
        <v>0</v>
      </c>
      <c r="AN18">
        <v>0</v>
      </c>
      <c r="AO18">
        <v>0</v>
      </c>
      <c r="AP18">
        <v>0</v>
      </c>
      <c r="AQ18">
        <v>0</v>
      </c>
      <c r="AR18">
        <v>0</v>
      </c>
      <c r="AS18">
        <v>0</v>
      </c>
      <c r="AT18">
        <v>0</v>
      </c>
      <c r="AU18">
        <v>0</v>
      </c>
      <c r="AV18">
        <v>0</v>
      </c>
      <c r="AW18">
        <v>0</v>
      </c>
      <c r="AX18">
        <v>0</v>
      </c>
      <c r="AY18">
        <v>0</v>
      </c>
      <c r="AZ18">
        <v>0</v>
      </c>
      <c r="BA18">
        <v>0</v>
      </c>
      <c r="BB18">
        <v>0</v>
      </c>
      <c r="BC18">
        <v>14</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4</v>
      </c>
      <c r="CP18">
        <v>0</v>
      </c>
      <c r="CQ18">
        <v>0</v>
      </c>
      <c r="CR18">
        <v>0</v>
      </c>
      <c r="CS18">
        <v>2</v>
      </c>
      <c r="CT18">
        <v>3</v>
      </c>
      <c r="CU18">
        <v>4</v>
      </c>
      <c r="CV18">
        <v>0</v>
      </c>
      <c r="CW18">
        <v>0</v>
      </c>
      <c r="CX18">
        <v>0</v>
      </c>
      <c r="CY18">
        <v>0</v>
      </c>
      <c r="CZ18">
        <v>0</v>
      </c>
      <c r="DA18">
        <v>0</v>
      </c>
      <c r="DB18">
        <v>0</v>
      </c>
      <c r="DC18">
        <v>1</v>
      </c>
      <c r="DD18">
        <v>1</v>
      </c>
    </row>
    <row r="19" spans="2:108" x14ac:dyDescent="0.2">
      <c r="B19" t="s">
        <v>572</v>
      </c>
      <c r="C19">
        <v>4</v>
      </c>
      <c r="D19">
        <v>1</v>
      </c>
      <c r="E19">
        <v>26</v>
      </c>
      <c r="F19">
        <v>16</v>
      </c>
      <c r="G19">
        <v>10</v>
      </c>
      <c r="H19">
        <v>12</v>
      </c>
      <c r="I19">
        <v>14</v>
      </c>
      <c r="J19">
        <v>14</v>
      </c>
      <c r="K19">
        <v>3</v>
      </c>
      <c r="L19">
        <v>6</v>
      </c>
      <c r="M19">
        <v>5</v>
      </c>
      <c r="N19">
        <v>5</v>
      </c>
      <c r="O19">
        <v>1</v>
      </c>
      <c r="P19">
        <v>0</v>
      </c>
      <c r="Q19">
        <v>5</v>
      </c>
      <c r="R19">
        <v>2</v>
      </c>
      <c r="S19">
        <v>10</v>
      </c>
      <c r="T19">
        <v>3</v>
      </c>
      <c r="U19">
        <v>4</v>
      </c>
      <c r="V19">
        <v>1</v>
      </c>
      <c r="W19">
        <v>11</v>
      </c>
      <c r="X19">
        <v>8</v>
      </c>
      <c r="Y19">
        <v>6</v>
      </c>
      <c r="Z19">
        <v>0</v>
      </c>
      <c r="AA19">
        <v>0</v>
      </c>
      <c r="AB19">
        <v>10</v>
      </c>
      <c r="AC19">
        <v>0</v>
      </c>
      <c r="AD19">
        <v>1</v>
      </c>
      <c r="AE19">
        <v>3</v>
      </c>
      <c r="AF19">
        <v>4</v>
      </c>
      <c r="AG19">
        <v>0</v>
      </c>
      <c r="AH19">
        <v>2</v>
      </c>
      <c r="AI19">
        <v>0</v>
      </c>
      <c r="AJ19">
        <v>0</v>
      </c>
      <c r="AK19">
        <v>1</v>
      </c>
      <c r="AL19">
        <v>5</v>
      </c>
      <c r="AN19">
        <v>8</v>
      </c>
      <c r="AO19">
        <v>6</v>
      </c>
      <c r="AP19">
        <v>15</v>
      </c>
      <c r="AQ19">
        <v>9</v>
      </c>
      <c r="AR19">
        <v>2</v>
      </c>
      <c r="AS19">
        <v>3</v>
      </c>
      <c r="AT19">
        <v>10</v>
      </c>
      <c r="AU19">
        <v>7</v>
      </c>
      <c r="AV19">
        <v>12</v>
      </c>
      <c r="AW19">
        <v>11</v>
      </c>
      <c r="AX19">
        <v>12</v>
      </c>
      <c r="AY19">
        <v>3</v>
      </c>
      <c r="AZ19">
        <v>2</v>
      </c>
      <c r="BA19">
        <v>12</v>
      </c>
      <c r="BB19">
        <v>2</v>
      </c>
      <c r="BC19">
        <v>0</v>
      </c>
      <c r="BD19">
        <v>10</v>
      </c>
      <c r="BE19">
        <v>6</v>
      </c>
      <c r="BF19">
        <v>6</v>
      </c>
      <c r="BG19">
        <v>8</v>
      </c>
      <c r="BH19">
        <v>9</v>
      </c>
      <c r="BI19">
        <v>11</v>
      </c>
      <c r="BJ19">
        <v>7</v>
      </c>
      <c r="BK19">
        <v>3</v>
      </c>
      <c r="BL19">
        <v>2</v>
      </c>
      <c r="BM19">
        <v>6</v>
      </c>
      <c r="BN19">
        <v>10</v>
      </c>
      <c r="BO19">
        <v>6</v>
      </c>
      <c r="BP19">
        <v>9</v>
      </c>
      <c r="BQ19">
        <v>14</v>
      </c>
      <c r="BR19">
        <v>1</v>
      </c>
      <c r="BS19">
        <v>10</v>
      </c>
      <c r="BT19">
        <v>0</v>
      </c>
      <c r="BU19">
        <v>11</v>
      </c>
      <c r="BV19">
        <v>6</v>
      </c>
      <c r="BW19">
        <v>7</v>
      </c>
      <c r="BX19">
        <v>0</v>
      </c>
      <c r="BY19">
        <v>0</v>
      </c>
      <c r="BZ19">
        <v>5</v>
      </c>
      <c r="CA19">
        <v>7</v>
      </c>
      <c r="CB19">
        <v>9</v>
      </c>
      <c r="CC19">
        <v>10</v>
      </c>
      <c r="CD19">
        <v>4</v>
      </c>
      <c r="CE19">
        <v>5</v>
      </c>
      <c r="CF19">
        <v>6</v>
      </c>
      <c r="CG19">
        <v>8</v>
      </c>
      <c r="CH19">
        <v>6</v>
      </c>
      <c r="CI19">
        <v>2</v>
      </c>
      <c r="CJ19">
        <v>6</v>
      </c>
      <c r="CK19">
        <v>4</v>
      </c>
      <c r="CL19">
        <v>5</v>
      </c>
      <c r="CM19">
        <v>2</v>
      </c>
      <c r="CN19">
        <v>6</v>
      </c>
      <c r="CO19">
        <v>0</v>
      </c>
      <c r="CP19">
        <v>2</v>
      </c>
      <c r="CQ19">
        <v>0</v>
      </c>
      <c r="CR19">
        <v>6</v>
      </c>
      <c r="CS19">
        <v>4</v>
      </c>
      <c r="CT19">
        <v>0</v>
      </c>
      <c r="CU19">
        <v>2</v>
      </c>
      <c r="CV19">
        <v>6</v>
      </c>
      <c r="CW19">
        <v>8</v>
      </c>
      <c r="CX19">
        <v>9</v>
      </c>
      <c r="CY19">
        <v>0</v>
      </c>
      <c r="CZ19">
        <v>0</v>
      </c>
      <c r="DA19">
        <v>0</v>
      </c>
      <c r="DB19">
        <v>0</v>
      </c>
      <c r="DC19">
        <v>1</v>
      </c>
      <c r="DD19">
        <v>0</v>
      </c>
    </row>
    <row r="20" spans="2:108" x14ac:dyDescent="0.2">
      <c r="B20" t="s">
        <v>573</v>
      </c>
      <c r="C20">
        <v>0</v>
      </c>
      <c r="D20">
        <v>0</v>
      </c>
      <c r="E20">
        <v>0</v>
      </c>
      <c r="F20">
        <v>0</v>
      </c>
      <c r="G20">
        <v>0</v>
      </c>
      <c r="H20">
        <v>0</v>
      </c>
      <c r="I20">
        <v>1</v>
      </c>
      <c r="J20">
        <v>4</v>
      </c>
      <c r="K20">
        <v>0</v>
      </c>
      <c r="L20">
        <v>3</v>
      </c>
      <c r="M20">
        <v>0</v>
      </c>
      <c r="N20">
        <v>2</v>
      </c>
      <c r="O20">
        <v>0</v>
      </c>
      <c r="P20">
        <v>4</v>
      </c>
      <c r="Q20">
        <v>0</v>
      </c>
      <c r="R20">
        <v>0</v>
      </c>
      <c r="S20">
        <v>1</v>
      </c>
      <c r="T20">
        <v>0</v>
      </c>
      <c r="U20">
        <v>0</v>
      </c>
      <c r="V20">
        <v>0</v>
      </c>
      <c r="W20">
        <v>0</v>
      </c>
      <c r="X20">
        <v>0</v>
      </c>
      <c r="Y20">
        <v>0</v>
      </c>
      <c r="Z20">
        <v>1</v>
      </c>
      <c r="AA20">
        <v>2</v>
      </c>
      <c r="AB20">
        <v>0</v>
      </c>
      <c r="AC20">
        <v>2</v>
      </c>
      <c r="AD20">
        <v>3</v>
      </c>
      <c r="AE20">
        <v>0</v>
      </c>
      <c r="AF20">
        <v>0</v>
      </c>
      <c r="AG20">
        <v>0</v>
      </c>
      <c r="AH20">
        <v>0</v>
      </c>
      <c r="AI20">
        <v>0</v>
      </c>
      <c r="AJ20">
        <v>4</v>
      </c>
      <c r="AK20">
        <v>0</v>
      </c>
      <c r="AL20">
        <v>0</v>
      </c>
      <c r="AN20">
        <v>0</v>
      </c>
      <c r="AO20">
        <v>2</v>
      </c>
      <c r="AP20">
        <v>0</v>
      </c>
      <c r="AQ20">
        <v>0</v>
      </c>
      <c r="AR20">
        <v>5</v>
      </c>
      <c r="AS20">
        <v>0</v>
      </c>
      <c r="AT20">
        <v>0</v>
      </c>
      <c r="AU20">
        <v>0</v>
      </c>
      <c r="AV20">
        <v>0</v>
      </c>
      <c r="AW20">
        <v>0</v>
      </c>
      <c r="AX20">
        <v>0</v>
      </c>
      <c r="AY20">
        <v>2</v>
      </c>
      <c r="AZ20">
        <v>3</v>
      </c>
      <c r="BA20">
        <v>0</v>
      </c>
      <c r="BB20">
        <v>0</v>
      </c>
      <c r="BC20">
        <v>1</v>
      </c>
      <c r="BD20">
        <v>0</v>
      </c>
      <c r="BE20">
        <v>0</v>
      </c>
      <c r="BF20">
        <v>1</v>
      </c>
      <c r="BG20">
        <v>0</v>
      </c>
      <c r="BH20">
        <v>0</v>
      </c>
      <c r="BI20">
        <v>0</v>
      </c>
      <c r="BJ20">
        <v>0</v>
      </c>
      <c r="BK20">
        <v>4</v>
      </c>
      <c r="BL20">
        <v>2</v>
      </c>
      <c r="BM20">
        <v>1</v>
      </c>
      <c r="BN20">
        <v>0</v>
      </c>
      <c r="BO20">
        <v>1</v>
      </c>
      <c r="BP20">
        <v>0</v>
      </c>
      <c r="BQ20">
        <v>0</v>
      </c>
      <c r="BR20">
        <v>6</v>
      </c>
      <c r="BS20">
        <v>0</v>
      </c>
      <c r="BT20">
        <v>1</v>
      </c>
      <c r="BU20">
        <v>0</v>
      </c>
      <c r="BV20">
        <v>0</v>
      </c>
      <c r="BW20">
        <v>0</v>
      </c>
      <c r="BX20">
        <v>3</v>
      </c>
      <c r="BY20">
        <v>8</v>
      </c>
      <c r="BZ20">
        <v>0</v>
      </c>
      <c r="CA20">
        <v>0</v>
      </c>
      <c r="CB20">
        <v>0</v>
      </c>
      <c r="CC20">
        <v>0</v>
      </c>
      <c r="CD20">
        <v>0</v>
      </c>
      <c r="CE20">
        <v>3</v>
      </c>
      <c r="CF20">
        <v>0</v>
      </c>
      <c r="CG20">
        <v>0</v>
      </c>
      <c r="CH20">
        <v>0</v>
      </c>
      <c r="CI20">
        <v>0</v>
      </c>
      <c r="CJ20">
        <v>0</v>
      </c>
      <c r="CK20">
        <v>0</v>
      </c>
      <c r="CL20">
        <v>1</v>
      </c>
      <c r="CM20">
        <v>0</v>
      </c>
      <c r="CN20">
        <v>0</v>
      </c>
      <c r="CO20">
        <v>2</v>
      </c>
      <c r="CP20">
        <v>3</v>
      </c>
      <c r="CQ20">
        <v>2</v>
      </c>
      <c r="CR20">
        <v>0</v>
      </c>
      <c r="CS20">
        <v>0</v>
      </c>
      <c r="CT20">
        <v>0</v>
      </c>
      <c r="CU20">
        <v>8</v>
      </c>
      <c r="CV20">
        <v>0</v>
      </c>
      <c r="CW20">
        <v>0</v>
      </c>
      <c r="CX20">
        <v>0</v>
      </c>
      <c r="CY20">
        <v>3</v>
      </c>
      <c r="CZ20">
        <v>1</v>
      </c>
      <c r="DA20">
        <v>1</v>
      </c>
      <c r="DB20">
        <v>4</v>
      </c>
      <c r="DC20">
        <v>0</v>
      </c>
      <c r="DD20">
        <v>3</v>
      </c>
    </row>
    <row r="23" spans="2:108" x14ac:dyDescent="0.2">
      <c r="B23" t="s">
        <v>683</v>
      </c>
    </row>
    <row r="24" spans="2:108" x14ac:dyDescent="0.2">
      <c r="B24" t="s">
        <v>571</v>
      </c>
      <c r="C24">
        <f>C18*100/SUM(C$18:C$20)</f>
        <v>80</v>
      </c>
      <c r="D24">
        <f>D18*100/SUM(D$18:D$20)</f>
        <v>93.333333333333329</v>
      </c>
      <c r="E24">
        <f>E18*100/SUM(E$18:E$20)</f>
        <v>23.529411764705884</v>
      </c>
      <c r="F24">
        <f>F18*100/SUM(F$18:F$20)</f>
        <v>0</v>
      </c>
      <c r="G24">
        <f>G18*100/SUM(G$18:G$20)</f>
        <v>69.696969696969703</v>
      </c>
      <c r="H24">
        <f>H18*100/SUM(H$18:H$20)</f>
        <v>47.826086956521742</v>
      </c>
      <c r="I24">
        <f>I18*100/SUM(I$18:I$20)</f>
        <v>21.05263157894737</v>
      </c>
      <c r="J24">
        <f>J18*100/SUM(J$18:J$20)</f>
        <v>0</v>
      </c>
      <c r="K24">
        <f>K18*100/SUM(K$18:K$20)</f>
        <v>84.21052631578948</v>
      </c>
      <c r="L24">
        <f>L18*100/SUM(L$18:L$20)</f>
        <v>47.058823529411768</v>
      </c>
      <c r="M24">
        <f>M18*100/SUM(M$18:M$20)</f>
        <v>77.272727272727266</v>
      </c>
      <c r="N24">
        <f>N18*100/SUM(N$18:N$20)</f>
        <v>65</v>
      </c>
      <c r="O24">
        <f>O18*100/SUM(O$18:O$20)</f>
        <v>94.117647058823536</v>
      </c>
      <c r="P24">
        <f>P18*100/SUM(P$18:P$20)</f>
        <v>75</v>
      </c>
      <c r="Q24">
        <f>Q18*100/SUM(Q$18:Q$20)</f>
        <v>79.166666666666671</v>
      </c>
      <c r="R24">
        <f>R18*100/SUM(R$18:R$20)</f>
        <v>86.666666666666671</v>
      </c>
      <c r="S24">
        <f>S18*100/SUM(S$18:S$20)</f>
        <v>0</v>
      </c>
      <c r="T24">
        <f>T18*100/SUM(T$18:T$20)</f>
        <v>62.5</v>
      </c>
      <c r="U24">
        <f>U18*100/SUM(U$18:U$20)</f>
        <v>0</v>
      </c>
      <c r="V24">
        <f>V18*100/SUM(V$18:V$20)</f>
        <v>0</v>
      </c>
      <c r="W24">
        <f>W18*100/SUM(W$18:W$20)</f>
        <v>0</v>
      </c>
      <c r="X24">
        <f>X18*100/SUM(X$18:X$20)</f>
        <v>0</v>
      </c>
      <c r="Y24">
        <f>Y18*100/SUM(Y$18:Y$20)</f>
        <v>0</v>
      </c>
      <c r="Z24">
        <f>Z18*100/SUM(Z$18:Z$20)</f>
        <v>85.714285714285708</v>
      </c>
      <c r="AA24">
        <f>AA18*100/SUM(AA$18:AA$20)</f>
        <v>0</v>
      </c>
      <c r="AB24">
        <f>AB18*100/SUM(AB$18:AB$20)</f>
        <v>0</v>
      </c>
      <c r="AC24">
        <f>AC18*100/SUM(AC$18:AC$20)</f>
        <v>0</v>
      </c>
      <c r="AD24">
        <f>AD18*100/SUM(AD$18:AD$20)</f>
        <v>0</v>
      </c>
      <c r="AE24">
        <f>AE18*100/SUM(AE$18:AE$20)</f>
        <v>50</v>
      </c>
      <c r="AF24">
        <f>AF18*100/SUM(AF$18:AF$20)</f>
        <v>20</v>
      </c>
      <c r="AG24">
        <f>AG18*100/SUM(AG$18:AG$20)</f>
        <v>100</v>
      </c>
      <c r="AH24">
        <f>AH18*100/SUM(AH$18:AH$20)</f>
        <v>0</v>
      </c>
      <c r="AI24">
        <f>AI18*100/SUM(AI$18:AI$20)</f>
        <v>100</v>
      </c>
      <c r="AJ24">
        <f>AJ18*100/SUM(AJ$18:AJ$20)</f>
        <v>20</v>
      </c>
      <c r="AK24">
        <f>AK18*100/SUM(AK$18:AK$20)</f>
        <v>90</v>
      </c>
      <c r="AL24">
        <f>AL18*100/SUM(AL$18:AL$20)</f>
        <v>0</v>
      </c>
      <c r="AN24">
        <f>AN18*100/SUM(AN$18:AN$20)</f>
        <v>0</v>
      </c>
      <c r="AO24">
        <f>AO18*100/SUM(AO$18:AO$20)</f>
        <v>0</v>
      </c>
      <c r="AP24">
        <f>AP18*100/SUM(AP$18:AP$20)</f>
        <v>0</v>
      </c>
      <c r="AQ24">
        <f>AQ18*100/SUM(AQ$18:AQ$20)</f>
        <v>0</v>
      </c>
      <c r="AR24">
        <f>AR18*100/SUM(AR$18:AR$20)</f>
        <v>0</v>
      </c>
      <c r="AS24">
        <f>AS18*100/SUM(AS$18:AS$20)</f>
        <v>0</v>
      </c>
      <c r="AT24">
        <f>AT18*100/SUM(AT$18:AT$20)</f>
        <v>0</v>
      </c>
      <c r="AU24">
        <f>AU18*100/SUM(AU$18:AU$20)</f>
        <v>0</v>
      </c>
      <c r="AV24">
        <f>AV18*100/SUM(AV$18:AV$20)</f>
        <v>0</v>
      </c>
      <c r="AW24">
        <f>AW18*100/SUM(AW$18:AW$20)</f>
        <v>0</v>
      </c>
      <c r="AX24">
        <f>AX18*100/SUM(AX$18:AX$20)</f>
        <v>0</v>
      </c>
      <c r="AY24">
        <f>AY18*100/SUM(AY$18:AY$20)</f>
        <v>0</v>
      </c>
      <c r="AZ24">
        <f>AZ18*100/SUM(AZ$18:AZ$20)</f>
        <v>0</v>
      </c>
      <c r="BA24">
        <f>BA18*100/SUM(BA$18:BA$20)</f>
        <v>0</v>
      </c>
      <c r="BB24">
        <f>BB18*100/SUM(BB$18:BB$20)</f>
        <v>0</v>
      </c>
      <c r="BC24">
        <f>BC18*100/SUM(BC$18:BC$20)</f>
        <v>93.333333333333329</v>
      </c>
      <c r="BD24">
        <f>BD18*100/SUM(BD$18:BD$20)</f>
        <v>0</v>
      </c>
      <c r="BE24">
        <f>BE18*100/SUM(BE$18:BE$20)</f>
        <v>0</v>
      </c>
      <c r="BF24">
        <f>BF18*100/SUM(BF$18:BF$20)</f>
        <v>0</v>
      </c>
      <c r="BG24">
        <f>BG18*100/SUM(BG$18:BG$20)</f>
        <v>0</v>
      </c>
      <c r="BH24">
        <f>BH18*100/SUM(BH$18:BH$20)</f>
        <v>0</v>
      </c>
      <c r="BI24">
        <f>BI18*100/SUM(BI$18:BI$20)</f>
        <v>0</v>
      </c>
      <c r="BJ24">
        <f>BJ18*100/SUM(BJ$18:BJ$20)</f>
        <v>0</v>
      </c>
      <c r="BK24">
        <f>BK18*100/SUM(BK$18:BK$20)</f>
        <v>0</v>
      </c>
      <c r="BL24">
        <f>BL18*100/SUM(BL$18:BL$20)</f>
        <v>0</v>
      </c>
      <c r="BM24">
        <f>BM18*100/SUM(BM$18:BM$20)</f>
        <v>0</v>
      </c>
      <c r="BN24">
        <f>BN18*100/SUM(BN$18:BN$20)</f>
        <v>0</v>
      </c>
      <c r="BO24">
        <f>BO18*100/SUM(BO$18:BO$20)</f>
        <v>0</v>
      </c>
      <c r="BP24">
        <f t="shared" ref="BP24:DD24" si="0">BP18*100/SUM(BP$18:BP$20)</f>
        <v>0</v>
      </c>
      <c r="BQ24">
        <f t="shared" si="0"/>
        <v>0</v>
      </c>
      <c r="BR24">
        <f t="shared" si="0"/>
        <v>0</v>
      </c>
      <c r="BS24">
        <f t="shared" si="0"/>
        <v>0</v>
      </c>
      <c r="BT24">
        <f t="shared" si="0"/>
        <v>0</v>
      </c>
      <c r="BU24">
        <f t="shared" si="0"/>
        <v>0</v>
      </c>
      <c r="BV24">
        <f t="shared" si="0"/>
        <v>0</v>
      </c>
      <c r="BW24">
        <f t="shared" si="0"/>
        <v>0</v>
      </c>
      <c r="BX24">
        <f t="shared" si="0"/>
        <v>0</v>
      </c>
      <c r="BY24">
        <f t="shared" si="0"/>
        <v>0</v>
      </c>
      <c r="BZ24">
        <f t="shared" si="0"/>
        <v>0</v>
      </c>
      <c r="CA24">
        <f t="shared" si="0"/>
        <v>0</v>
      </c>
      <c r="CB24">
        <f t="shared" si="0"/>
        <v>0</v>
      </c>
      <c r="CC24">
        <f t="shared" si="0"/>
        <v>0</v>
      </c>
      <c r="CD24">
        <f t="shared" si="0"/>
        <v>0</v>
      </c>
      <c r="CE24">
        <f t="shared" si="0"/>
        <v>0</v>
      </c>
      <c r="CF24">
        <f t="shared" si="0"/>
        <v>0</v>
      </c>
      <c r="CG24">
        <f t="shared" si="0"/>
        <v>0</v>
      </c>
      <c r="CH24">
        <f t="shared" si="0"/>
        <v>0</v>
      </c>
      <c r="CI24">
        <f t="shared" si="0"/>
        <v>0</v>
      </c>
      <c r="CJ24">
        <f t="shared" si="0"/>
        <v>0</v>
      </c>
      <c r="CK24">
        <f t="shared" si="0"/>
        <v>0</v>
      </c>
      <c r="CL24">
        <f t="shared" si="0"/>
        <v>0</v>
      </c>
      <c r="CM24">
        <f t="shared" si="0"/>
        <v>0</v>
      </c>
      <c r="CN24">
        <f t="shared" si="0"/>
        <v>0</v>
      </c>
      <c r="CO24">
        <f t="shared" si="0"/>
        <v>66.666666666666671</v>
      </c>
      <c r="CP24">
        <f t="shared" si="0"/>
        <v>0</v>
      </c>
      <c r="CQ24">
        <f t="shared" si="0"/>
        <v>0</v>
      </c>
      <c r="CR24">
        <f t="shared" si="0"/>
        <v>0</v>
      </c>
      <c r="CS24">
        <f t="shared" si="0"/>
        <v>33.333333333333336</v>
      </c>
      <c r="CT24">
        <f t="shared" si="0"/>
        <v>100</v>
      </c>
      <c r="CU24">
        <f t="shared" si="0"/>
        <v>28.571428571428573</v>
      </c>
      <c r="CV24">
        <f t="shared" si="0"/>
        <v>0</v>
      </c>
      <c r="CW24">
        <f t="shared" si="0"/>
        <v>0</v>
      </c>
      <c r="CX24">
        <f t="shared" si="0"/>
        <v>0</v>
      </c>
      <c r="CY24">
        <f t="shared" si="0"/>
        <v>0</v>
      </c>
      <c r="CZ24">
        <f t="shared" si="0"/>
        <v>0</v>
      </c>
      <c r="DA24">
        <f t="shared" si="0"/>
        <v>0</v>
      </c>
      <c r="DB24">
        <f t="shared" si="0"/>
        <v>0</v>
      </c>
      <c r="DC24">
        <f t="shared" si="0"/>
        <v>50</v>
      </c>
      <c r="DD24">
        <f t="shared" si="0"/>
        <v>25</v>
      </c>
    </row>
    <row r="25" spans="2:108" x14ac:dyDescent="0.2">
      <c r="B25" t="s">
        <v>572</v>
      </c>
      <c r="C25">
        <f t="shared" ref="C25:R26" si="1">C19*100/SUM(C$18:C$20)</f>
        <v>20</v>
      </c>
      <c r="D25">
        <f t="shared" si="1"/>
        <v>6.666666666666667</v>
      </c>
      <c r="E25">
        <f t="shared" si="1"/>
        <v>76.470588235294116</v>
      </c>
      <c r="F25">
        <f t="shared" si="1"/>
        <v>100</v>
      </c>
      <c r="G25">
        <f t="shared" si="1"/>
        <v>30.303030303030305</v>
      </c>
      <c r="H25">
        <f t="shared" si="1"/>
        <v>52.173913043478258</v>
      </c>
      <c r="I25">
        <f t="shared" si="1"/>
        <v>73.684210526315795</v>
      </c>
      <c r="J25">
        <f t="shared" si="1"/>
        <v>77.777777777777771</v>
      </c>
      <c r="K25">
        <f t="shared" si="1"/>
        <v>15.789473684210526</v>
      </c>
      <c r="L25">
        <f t="shared" si="1"/>
        <v>35.294117647058826</v>
      </c>
      <c r="M25">
        <f t="shared" si="1"/>
        <v>22.727272727272727</v>
      </c>
      <c r="N25">
        <f t="shared" si="1"/>
        <v>25</v>
      </c>
      <c r="O25">
        <f t="shared" si="1"/>
        <v>5.882352941176471</v>
      </c>
      <c r="P25">
        <f t="shared" si="1"/>
        <v>0</v>
      </c>
      <c r="Q25">
        <f t="shared" si="1"/>
        <v>20.833333333333332</v>
      </c>
      <c r="R25">
        <f t="shared" si="1"/>
        <v>13.333333333333334</v>
      </c>
      <c r="S25">
        <f>S19*100/SUM(S$18:S$20)</f>
        <v>90.909090909090907</v>
      </c>
      <c r="T25">
        <f>T19*100/SUM(T$18:T$20)</f>
        <v>37.5</v>
      </c>
      <c r="U25">
        <f>U19*100/SUM(U$18:U$20)</f>
        <v>100</v>
      </c>
      <c r="V25">
        <f>V19*100/SUM(V$18:V$20)</f>
        <v>100</v>
      </c>
      <c r="W25">
        <f>W19*100/SUM(W$18:W$20)</f>
        <v>100</v>
      </c>
      <c r="X25">
        <f>X19*100/SUM(X$18:X$20)</f>
        <v>100</v>
      </c>
      <c r="Y25">
        <f>Y19*100/SUM(Y$18:Y$20)</f>
        <v>100</v>
      </c>
      <c r="Z25">
        <f>Z19*100/SUM(Z$18:Z$20)</f>
        <v>0</v>
      </c>
      <c r="AA25">
        <f>AA19*100/SUM(AA$18:AA$20)</f>
        <v>0</v>
      </c>
      <c r="AB25">
        <f>AB19*100/SUM(AB$18:AB$20)</f>
        <v>100</v>
      </c>
      <c r="AC25">
        <f>AC19*100/SUM(AC$18:AC$20)</f>
        <v>0</v>
      </c>
      <c r="AD25">
        <f>AD19*100/SUM(AD$18:AD$20)</f>
        <v>25</v>
      </c>
      <c r="AE25">
        <f>AE19*100/SUM(AE$18:AE$20)</f>
        <v>50</v>
      </c>
      <c r="AF25">
        <f>AF19*100/SUM(AF$18:AF$20)</f>
        <v>80</v>
      </c>
      <c r="AG25">
        <f>AG19*100/SUM(AG$18:AG$20)</f>
        <v>0</v>
      </c>
      <c r="AH25">
        <f>AH19*100/SUM(AH$18:AH$20)</f>
        <v>100</v>
      </c>
      <c r="AI25">
        <f>AI19*100/SUM(AI$18:AI$20)</f>
        <v>0</v>
      </c>
      <c r="AJ25">
        <f>AJ19*100/SUM(AJ$18:AJ$20)</f>
        <v>0</v>
      </c>
      <c r="AK25">
        <f>AK19*100/SUM(AK$18:AK$20)</f>
        <v>10</v>
      </c>
      <c r="AL25">
        <f>AL19*100/SUM(AL$18:AL$20)</f>
        <v>100</v>
      </c>
      <c r="AN25">
        <f>AN19*100/SUM(AN$18:AN$20)</f>
        <v>100</v>
      </c>
      <c r="AO25">
        <f>AO19*100/SUM(AO$18:AO$20)</f>
        <v>75</v>
      </c>
      <c r="AP25">
        <f>AP19*100/SUM(AP$18:AP$20)</f>
        <v>100</v>
      </c>
      <c r="AQ25">
        <f>AQ19*100/SUM(AQ$18:AQ$20)</f>
        <v>100</v>
      </c>
      <c r="AR25">
        <f>AR19*100/SUM(AR$18:AR$20)</f>
        <v>28.571428571428573</v>
      </c>
      <c r="AS25">
        <f>AS19*100/SUM(AS$18:AS$20)</f>
        <v>100</v>
      </c>
      <c r="AT25">
        <f>AT19*100/SUM(AT$18:AT$20)</f>
        <v>100</v>
      </c>
      <c r="AU25">
        <f>AU19*100/SUM(AU$18:AU$20)</f>
        <v>100</v>
      </c>
      <c r="AV25">
        <f>AV19*100/SUM(AV$18:AV$20)</f>
        <v>100</v>
      </c>
      <c r="AW25">
        <f>AW19*100/SUM(AW$18:AW$20)</f>
        <v>100</v>
      </c>
      <c r="AX25">
        <f>AX19*100/SUM(AX$18:AX$20)</f>
        <v>100</v>
      </c>
      <c r="AY25">
        <f>AY19*100/SUM(AY$18:AY$20)</f>
        <v>60</v>
      </c>
      <c r="AZ25">
        <f>AZ19*100/SUM(AZ$18:AZ$20)</f>
        <v>40</v>
      </c>
      <c r="BA25">
        <f>BA19*100/SUM(BA$18:BA$20)</f>
        <v>100</v>
      </c>
      <c r="BB25">
        <f>BB19*100/SUM(BB$18:BB$20)</f>
        <v>100</v>
      </c>
      <c r="BC25">
        <f>BC19*100/SUM(BC$18:BC$20)</f>
        <v>0</v>
      </c>
      <c r="BD25">
        <f>BD19*100/SUM(BD$18:BD$20)</f>
        <v>100</v>
      </c>
      <c r="BE25">
        <f>BE19*100/SUM(BE$18:BE$20)</f>
        <v>100</v>
      </c>
      <c r="BF25">
        <f>BF19*100/SUM(BF$18:BF$20)</f>
        <v>85.714285714285708</v>
      </c>
      <c r="BG25">
        <f>BG19*100/SUM(BG$18:BG$20)</f>
        <v>100</v>
      </c>
      <c r="BH25">
        <f>BH19*100/SUM(BH$18:BH$20)</f>
        <v>100</v>
      </c>
      <c r="BI25">
        <f>BI19*100/SUM(BI$18:BI$20)</f>
        <v>100</v>
      </c>
      <c r="BJ25">
        <f>BJ19*100/SUM(BJ$18:BJ$20)</f>
        <v>100</v>
      </c>
      <c r="BK25">
        <f>BK19*100/SUM(BK$18:BK$20)</f>
        <v>42.857142857142854</v>
      </c>
      <c r="BL25">
        <f>BL19*100/SUM(BL$18:BL$20)</f>
        <v>50</v>
      </c>
      <c r="BM25">
        <f>BM19*100/SUM(BM$18:BM$20)</f>
        <v>85.714285714285708</v>
      </c>
      <c r="BN25">
        <f>BN19*100/SUM(BN$18:BN$20)</f>
        <v>100</v>
      </c>
      <c r="BO25">
        <f>BO19*100/SUM(BO$18:BO$20)</f>
        <v>85.714285714285708</v>
      </c>
      <c r="BP25">
        <f>BP19*100/SUM(BP$18:BP$20)</f>
        <v>100</v>
      </c>
      <c r="BQ25">
        <f>BQ19*100/SUM(BQ$18:BQ$20)</f>
        <v>100</v>
      </c>
      <c r="BR25">
        <f>BR19*100/SUM(BR$18:BR$20)</f>
        <v>14.285714285714286</v>
      </c>
      <c r="BS25">
        <f>BS19*100/SUM(BS$18:BS$20)</f>
        <v>100</v>
      </c>
      <c r="BT25">
        <f>BT19*100/SUM(BT$18:BT$20)</f>
        <v>0</v>
      </c>
      <c r="BU25">
        <f>BU19*100/SUM(BU$18:BU$20)</f>
        <v>100</v>
      </c>
      <c r="BV25">
        <f>BV19*100/SUM(BV$18:BV$20)</f>
        <v>100</v>
      </c>
      <c r="BW25">
        <f>BW19*100/SUM(BW$18:BW$20)</f>
        <v>100</v>
      </c>
      <c r="BX25">
        <f>BX19*100/SUM(BX$18:BX$20)</f>
        <v>0</v>
      </c>
      <c r="BY25">
        <f>BY19*100/SUM(BY$18:BY$20)</f>
        <v>0</v>
      </c>
      <c r="BZ25">
        <f>BZ19*100/SUM(BZ$18:BZ$20)</f>
        <v>100</v>
      </c>
      <c r="CA25">
        <f>CA19*100/SUM(CA$18:CA$20)</f>
        <v>100</v>
      </c>
      <c r="CB25">
        <f>CB19*100/SUM(CB$18:CB$20)</f>
        <v>100</v>
      </c>
      <c r="CC25">
        <f>CC19*100/SUM(CC$18:CC$20)</f>
        <v>100</v>
      </c>
      <c r="CD25">
        <f>CD19*100/SUM(CD$18:CD$20)</f>
        <v>100</v>
      </c>
      <c r="CE25">
        <f t="shared" ref="CE25:DD25" si="2">CE19*100/SUM(CE$18:CE$20)</f>
        <v>62.5</v>
      </c>
      <c r="CF25">
        <f t="shared" si="2"/>
        <v>100</v>
      </c>
      <c r="CG25">
        <f t="shared" si="2"/>
        <v>100</v>
      </c>
      <c r="CH25">
        <f t="shared" si="2"/>
        <v>100</v>
      </c>
      <c r="CI25">
        <f t="shared" si="2"/>
        <v>100</v>
      </c>
      <c r="CJ25">
        <f t="shared" si="2"/>
        <v>100</v>
      </c>
      <c r="CK25">
        <f t="shared" si="2"/>
        <v>100</v>
      </c>
      <c r="CL25">
        <f t="shared" si="2"/>
        <v>83.333333333333329</v>
      </c>
      <c r="CM25">
        <f t="shared" si="2"/>
        <v>100</v>
      </c>
      <c r="CN25">
        <f t="shared" si="2"/>
        <v>100</v>
      </c>
      <c r="CO25">
        <f t="shared" si="2"/>
        <v>0</v>
      </c>
      <c r="CP25">
        <f t="shared" si="2"/>
        <v>40</v>
      </c>
      <c r="CQ25">
        <f t="shared" si="2"/>
        <v>0</v>
      </c>
      <c r="CR25">
        <f t="shared" si="2"/>
        <v>100</v>
      </c>
      <c r="CS25">
        <f t="shared" si="2"/>
        <v>66.666666666666671</v>
      </c>
      <c r="CT25">
        <f t="shared" si="2"/>
        <v>0</v>
      </c>
      <c r="CU25">
        <f t="shared" si="2"/>
        <v>14.285714285714286</v>
      </c>
      <c r="CV25">
        <f t="shared" si="2"/>
        <v>100</v>
      </c>
      <c r="CW25">
        <f t="shared" si="2"/>
        <v>100</v>
      </c>
      <c r="CX25">
        <f t="shared" si="2"/>
        <v>100</v>
      </c>
      <c r="CY25">
        <f t="shared" si="2"/>
        <v>0</v>
      </c>
      <c r="CZ25">
        <f t="shared" si="2"/>
        <v>0</v>
      </c>
      <c r="DA25">
        <f t="shared" si="2"/>
        <v>0</v>
      </c>
      <c r="DB25">
        <f t="shared" si="2"/>
        <v>0</v>
      </c>
      <c r="DC25">
        <f t="shared" si="2"/>
        <v>50</v>
      </c>
      <c r="DD25">
        <f t="shared" si="2"/>
        <v>0</v>
      </c>
    </row>
    <row r="26" spans="2:108" x14ac:dyDescent="0.2">
      <c r="B26" t="s">
        <v>573</v>
      </c>
      <c r="C26">
        <f t="shared" si="1"/>
        <v>0</v>
      </c>
      <c r="D26">
        <f t="shared" si="1"/>
        <v>0</v>
      </c>
      <c r="E26">
        <f t="shared" si="1"/>
        <v>0</v>
      </c>
      <c r="F26">
        <f t="shared" si="1"/>
        <v>0</v>
      </c>
      <c r="G26">
        <f t="shared" si="1"/>
        <v>0</v>
      </c>
      <c r="H26">
        <f t="shared" si="1"/>
        <v>0</v>
      </c>
      <c r="I26">
        <f t="shared" si="1"/>
        <v>5.2631578947368425</v>
      </c>
      <c r="J26">
        <f t="shared" si="1"/>
        <v>22.222222222222221</v>
      </c>
      <c r="K26">
        <f t="shared" si="1"/>
        <v>0</v>
      </c>
      <c r="L26">
        <f t="shared" si="1"/>
        <v>17.647058823529413</v>
      </c>
      <c r="M26">
        <f t="shared" si="1"/>
        <v>0</v>
      </c>
      <c r="N26">
        <f t="shared" si="1"/>
        <v>10</v>
      </c>
      <c r="O26">
        <f t="shared" si="1"/>
        <v>0</v>
      </c>
      <c r="P26">
        <f t="shared" si="1"/>
        <v>25</v>
      </c>
      <c r="Q26">
        <f t="shared" si="1"/>
        <v>0</v>
      </c>
      <c r="R26">
        <f t="shared" si="1"/>
        <v>0</v>
      </c>
      <c r="S26">
        <f>S20*100/SUM(S$18:S$20)</f>
        <v>9.0909090909090917</v>
      </c>
      <c r="T26">
        <f>T20*100/SUM(T$18:T$20)</f>
        <v>0</v>
      </c>
      <c r="U26">
        <f>U20*100/SUM(U$18:U$20)</f>
        <v>0</v>
      </c>
      <c r="V26">
        <f>V20*100/SUM(V$18:V$20)</f>
        <v>0</v>
      </c>
      <c r="W26">
        <f>W20*100/SUM(W$18:W$20)</f>
        <v>0</v>
      </c>
      <c r="X26">
        <f>X20*100/SUM(X$18:X$20)</f>
        <v>0</v>
      </c>
      <c r="Y26">
        <f>Y20*100/SUM(Y$18:Y$20)</f>
        <v>0</v>
      </c>
      <c r="Z26">
        <f>Z20*100/SUM(Z$18:Z$20)</f>
        <v>14.285714285714286</v>
      </c>
      <c r="AA26">
        <f>AA20*100/SUM(AA$18:AA$20)</f>
        <v>100</v>
      </c>
      <c r="AB26">
        <f>AB20*100/SUM(AB$18:AB$20)</f>
        <v>0</v>
      </c>
      <c r="AC26">
        <f>AC20*100/SUM(AC$18:AC$20)</f>
        <v>100</v>
      </c>
      <c r="AD26">
        <f>AD20*100/SUM(AD$18:AD$20)</f>
        <v>75</v>
      </c>
      <c r="AE26">
        <f>AE20*100/SUM(AE$18:AE$20)</f>
        <v>0</v>
      </c>
      <c r="AF26">
        <f>AF20*100/SUM(AF$18:AF$20)</f>
        <v>0</v>
      </c>
      <c r="AG26">
        <f>AG20*100/SUM(AG$18:AG$20)</f>
        <v>0</v>
      </c>
      <c r="AH26">
        <f>AH20*100/SUM(AH$18:AH$20)</f>
        <v>0</v>
      </c>
      <c r="AI26">
        <f>AI20*100/SUM(AI$18:AI$20)</f>
        <v>0</v>
      </c>
      <c r="AJ26">
        <f>AJ20*100/SUM(AJ$18:AJ$20)</f>
        <v>80</v>
      </c>
      <c r="AK26">
        <f>AK20*100/SUM(AK$18:AK$20)</f>
        <v>0</v>
      </c>
      <c r="AL26">
        <f>AL20*100/SUM(AL$18:AL$20)</f>
        <v>0</v>
      </c>
      <c r="AN26">
        <f>AN20*100/SUM(AN$18:AN$20)</f>
        <v>0</v>
      </c>
      <c r="AO26">
        <f>AO20*100/SUM(AO$18:AO$20)</f>
        <v>25</v>
      </c>
      <c r="AP26">
        <f>AP20*100/SUM(AP$18:AP$20)</f>
        <v>0</v>
      </c>
      <c r="AQ26">
        <f>AQ20*100/SUM(AQ$18:AQ$20)</f>
        <v>0</v>
      </c>
      <c r="AR26">
        <f>AR20*100/SUM(AR$18:AR$20)</f>
        <v>71.428571428571431</v>
      </c>
      <c r="AS26">
        <f>AS20*100/SUM(AS$18:AS$20)</f>
        <v>0</v>
      </c>
      <c r="AT26">
        <f>AT20*100/SUM(AT$18:AT$20)</f>
        <v>0</v>
      </c>
      <c r="AU26">
        <f>AU20*100/SUM(AU$18:AU$20)</f>
        <v>0</v>
      </c>
      <c r="AV26">
        <f>AV20*100/SUM(AV$18:AV$20)</f>
        <v>0</v>
      </c>
      <c r="AW26">
        <f>AW20*100/SUM(AW$18:AW$20)</f>
        <v>0</v>
      </c>
      <c r="AX26">
        <f>AX20*100/SUM(AX$18:AX$20)</f>
        <v>0</v>
      </c>
      <c r="AY26">
        <f>AY20*100/SUM(AY$18:AY$20)</f>
        <v>40</v>
      </c>
      <c r="AZ26">
        <f>AZ20*100/SUM(AZ$18:AZ$20)</f>
        <v>60</v>
      </c>
      <c r="BA26">
        <f>BA20*100/SUM(BA$18:BA$20)</f>
        <v>0</v>
      </c>
      <c r="BB26">
        <f>BB20*100/SUM(BB$18:BB$20)</f>
        <v>0</v>
      </c>
      <c r="BC26">
        <f>BC20*100/SUM(BC$18:BC$20)</f>
        <v>6.666666666666667</v>
      </c>
      <c r="BD26">
        <f>BD20*100/SUM(BD$18:BD$20)</f>
        <v>0</v>
      </c>
      <c r="BE26">
        <f>BE20*100/SUM(BE$18:BE$20)</f>
        <v>0</v>
      </c>
      <c r="BF26">
        <f>BF20*100/SUM(BF$18:BF$20)</f>
        <v>14.285714285714286</v>
      </c>
      <c r="BG26">
        <f>BG20*100/SUM(BG$18:BG$20)</f>
        <v>0</v>
      </c>
      <c r="BH26">
        <f>BH20*100/SUM(BH$18:BH$20)</f>
        <v>0</v>
      </c>
      <c r="BI26">
        <f>BI20*100/SUM(BI$18:BI$20)</f>
        <v>0</v>
      </c>
      <c r="BJ26">
        <f>BJ20*100/SUM(BJ$18:BJ$20)</f>
        <v>0</v>
      </c>
      <c r="BK26">
        <f>BK20*100/SUM(BK$18:BK$20)</f>
        <v>57.142857142857146</v>
      </c>
      <c r="BL26">
        <f>BL20*100/SUM(BL$18:BL$20)</f>
        <v>50</v>
      </c>
      <c r="BM26">
        <f>BM20*100/SUM(BM$18:BM$20)</f>
        <v>14.285714285714286</v>
      </c>
      <c r="BN26">
        <f>BN20*100/SUM(BN$18:BN$20)</f>
        <v>0</v>
      </c>
      <c r="BO26">
        <f>BO20*100/SUM(BO$18:BO$20)</f>
        <v>14.285714285714286</v>
      </c>
      <c r="BP26">
        <f>BP20*100/SUM(BP$18:BP$20)</f>
        <v>0</v>
      </c>
      <c r="BQ26">
        <f>BQ20*100/SUM(BQ$18:BQ$20)</f>
        <v>0</v>
      </c>
      <c r="BR26">
        <f>BR20*100/SUM(BR$18:BR$20)</f>
        <v>85.714285714285708</v>
      </c>
      <c r="BS26">
        <f>BS20*100/SUM(BS$18:BS$20)</f>
        <v>0</v>
      </c>
      <c r="BT26">
        <f>BT20*100/SUM(BT$18:BT$20)</f>
        <v>100</v>
      </c>
      <c r="BU26">
        <f>BU20*100/SUM(BU$18:BU$20)</f>
        <v>0</v>
      </c>
      <c r="BV26">
        <f>BV20*100/SUM(BV$18:BV$20)</f>
        <v>0</v>
      </c>
      <c r="BW26">
        <f>BW20*100/SUM(BW$18:BW$20)</f>
        <v>0</v>
      </c>
      <c r="BX26">
        <f>BX20*100/SUM(BX$18:BX$20)</f>
        <v>100</v>
      </c>
      <c r="BY26">
        <f>BY20*100/SUM(BY$18:BY$20)</f>
        <v>100</v>
      </c>
      <c r="BZ26">
        <f>BZ20*100/SUM(BZ$18:BZ$20)</f>
        <v>0</v>
      </c>
      <c r="CA26">
        <f>CA20*100/SUM(CA$18:CA$20)</f>
        <v>0</v>
      </c>
      <c r="CB26">
        <f>CB20*100/SUM(CB$18:CB$20)</f>
        <v>0</v>
      </c>
      <c r="CC26">
        <f>CC20*100/SUM(CC$18:CC$20)</f>
        <v>0</v>
      </c>
      <c r="CD26">
        <f>CD20*100/SUM(CD$18:CD$20)</f>
        <v>0</v>
      </c>
      <c r="CE26">
        <f t="shared" ref="CE26:DD26" si="3">CE20*100/SUM(CE$18:CE$20)</f>
        <v>37.5</v>
      </c>
      <c r="CF26">
        <f t="shared" si="3"/>
        <v>0</v>
      </c>
      <c r="CG26">
        <f t="shared" si="3"/>
        <v>0</v>
      </c>
      <c r="CH26">
        <f t="shared" si="3"/>
        <v>0</v>
      </c>
      <c r="CI26">
        <f t="shared" si="3"/>
        <v>0</v>
      </c>
      <c r="CJ26">
        <f t="shared" si="3"/>
        <v>0</v>
      </c>
      <c r="CK26">
        <f t="shared" si="3"/>
        <v>0</v>
      </c>
      <c r="CL26">
        <f t="shared" si="3"/>
        <v>16.666666666666668</v>
      </c>
      <c r="CM26">
        <f t="shared" si="3"/>
        <v>0</v>
      </c>
      <c r="CN26">
        <f t="shared" si="3"/>
        <v>0</v>
      </c>
      <c r="CO26">
        <f t="shared" si="3"/>
        <v>33.333333333333336</v>
      </c>
      <c r="CP26">
        <f t="shared" si="3"/>
        <v>60</v>
      </c>
      <c r="CQ26">
        <f t="shared" si="3"/>
        <v>100</v>
      </c>
      <c r="CR26">
        <f t="shared" si="3"/>
        <v>0</v>
      </c>
      <c r="CS26">
        <f t="shared" si="3"/>
        <v>0</v>
      </c>
      <c r="CT26">
        <f t="shared" si="3"/>
        <v>0</v>
      </c>
      <c r="CU26">
        <f t="shared" si="3"/>
        <v>57.142857142857146</v>
      </c>
      <c r="CV26">
        <f t="shared" si="3"/>
        <v>0</v>
      </c>
      <c r="CW26">
        <f t="shared" si="3"/>
        <v>0</v>
      </c>
      <c r="CX26">
        <f t="shared" si="3"/>
        <v>0</v>
      </c>
      <c r="CY26">
        <f t="shared" si="3"/>
        <v>100</v>
      </c>
      <c r="CZ26">
        <f t="shared" si="3"/>
        <v>100</v>
      </c>
      <c r="DA26">
        <f t="shared" si="3"/>
        <v>100</v>
      </c>
      <c r="DB26">
        <f t="shared" si="3"/>
        <v>100</v>
      </c>
      <c r="DC26">
        <f t="shared" si="3"/>
        <v>0</v>
      </c>
      <c r="DD26">
        <f t="shared" si="3"/>
        <v>75</v>
      </c>
    </row>
    <row r="28" spans="2:108" x14ac:dyDescent="0.2">
      <c r="Q28" s="10"/>
      <c r="R28" s="11" t="s">
        <v>685</v>
      </c>
      <c r="S28" s="11" t="s">
        <v>686</v>
      </c>
    </row>
    <row r="29" spans="2:108" x14ac:dyDescent="0.2">
      <c r="Q29" s="11" t="s">
        <v>571</v>
      </c>
      <c r="R29" s="10">
        <f>AVERAGE(C24:R24)</f>
        <v>58.99571817753521</v>
      </c>
      <c r="S29" s="10">
        <f>AVERAGE(S24:DD24)</f>
        <v>10.394596040663457</v>
      </c>
    </row>
    <row r="30" spans="2:108" x14ac:dyDescent="0.2">
      <c r="Q30" s="11" t="s">
        <v>572</v>
      </c>
      <c r="R30" s="10">
        <f t="shared" ref="R30:R31" si="4">AVERAGE(C25:R25)</f>
        <v>35.996004388684263</v>
      </c>
      <c r="S30" s="10">
        <f t="shared" ref="S30:S31" si="5">AVERAGE(S25:DD25)</f>
        <v>68.292718517437621</v>
      </c>
    </row>
    <row r="31" spans="2:108" x14ac:dyDescent="0.2">
      <c r="Q31" s="11" t="s">
        <v>573</v>
      </c>
      <c r="R31" s="10">
        <f t="shared" si="4"/>
        <v>5.0082774337805294</v>
      </c>
      <c r="S31" s="10">
        <f t="shared" si="5"/>
        <v>21.312685441898925</v>
      </c>
    </row>
    <row r="32" spans="2:108" x14ac:dyDescent="0.2">
      <c r="AM32" t="s">
        <v>693</v>
      </c>
      <c r="DD32" t="s">
        <v>693</v>
      </c>
    </row>
    <row r="33" spans="1:107" x14ac:dyDescent="0.2">
      <c r="A33" s="1" t="s">
        <v>690</v>
      </c>
      <c r="C33">
        <v>353565</v>
      </c>
      <c r="D33">
        <v>345841</v>
      </c>
      <c r="E33">
        <v>351650</v>
      </c>
      <c r="F33">
        <v>351877</v>
      </c>
      <c r="G33">
        <v>357958</v>
      </c>
      <c r="H33">
        <v>359313</v>
      </c>
      <c r="I33">
        <v>358706</v>
      </c>
      <c r="J33">
        <v>348899</v>
      </c>
      <c r="K33">
        <v>351211</v>
      </c>
      <c r="L33">
        <v>367725</v>
      </c>
      <c r="M33">
        <v>352900</v>
      </c>
      <c r="N33">
        <v>367957</v>
      </c>
      <c r="O33">
        <v>357921</v>
      </c>
      <c r="P33">
        <v>350431</v>
      </c>
      <c r="Q33">
        <v>357546</v>
      </c>
      <c r="R33">
        <v>342096</v>
      </c>
      <c r="S33">
        <v>365610</v>
      </c>
      <c r="T33">
        <v>341998</v>
      </c>
      <c r="U33">
        <v>341598</v>
      </c>
      <c r="V33">
        <v>336550</v>
      </c>
      <c r="W33">
        <v>344149</v>
      </c>
      <c r="X33">
        <v>347202</v>
      </c>
      <c r="Y33">
        <v>345600</v>
      </c>
      <c r="Z33">
        <v>351110</v>
      </c>
      <c r="AA33">
        <v>335249</v>
      </c>
      <c r="AB33">
        <v>350571</v>
      </c>
      <c r="AC33">
        <v>349257</v>
      </c>
      <c r="AD33">
        <v>338151</v>
      </c>
      <c r="AE33">
        <v>345303</v>
      </c>
      <c r="AF33">
        <v>365888</v>
      </c>
      <c r="AG33">
        <v>355346</v>
      </c>
      <c r="AH33">
        <v>345289</v>
      </c>
      <c r="AI33">
        <v>347122</v>
      </c>
      <c r="AJ33">
        <v>346950</v>
      </c>
      <c r="AK33">
        <v>350361</v>
      </c>
      <c r="AL33">
        <v>341621</v>
      </c>
      <c r="AN33">
        <v>341120</v>
      </c>
      <c r="AO33">
        <v>333531</v>
      </c>
      <c r="AP33">
        <v>347266</v>
      </c>
      <c r="AQ33">
        <v>343011</v>
      </c>
      <c r="AR33">
        <v>336770</v>
      </c>
      <c r="AS33">
        <v>340554</v>
      </c>
      <c r="AT33">
        <v>343233</v>
      </c>
      <c r="AU33">
        <v>348891</v>
      </c>
      <c r="AV33">
        <v>351519</v>
      </c>
      <c r="AW33">
        <v>346519</v>
      </c>
      <c r="AX33">
        <v>347117</v>
      </c>
      <c r="AY33">
        <v>335976</v>
      </c>
      <c r="AZ33">
        <v>337802</v>
      </c>
      <c r="BA33">
        <v>355675</v>
      </c>
      <c r="BB33">
        <v>336836</v>
      </c>
      <c r="BC33">
        <v>346467</v>
      </c>
      <c r="BD33">
        <v>354556</v>
      </c>
      <c r="BE33">
        <v>341717</v>
      </c>
      <c r="BF33">
        <v>351426</v>
      </c>
      <c r="BG33">
        <v>349319</v>
      </c>
      <c r="BH33">
        <v>349329</v>
      </c>
      <c r="BI33">
        <v>341598</v>
      </c>
      <c r="BJ33">
        <v>342530</v>
      </c>
      <c r="BK33">
        <v>345089</v>
      </c>
      <c r="BL33">
        <v>344368</v>
      </c>
      <c r="BM33">
        <v>340893</v>
      </c>
      <c r="BN33">
        <v>354698</v>
      </c>
      <c r="BO33">
        <v>347407</v>
      </c>
      <c r="BP33">
        <v>356531</v>
      </c>
      <c r="BQ33">
        <v>356998</v>
      </c>
      <c r="BR33">
        <v>346058</v>
      </c>
      <c r="BS33">
        <v>355440</v>
      </c>
      <c r="BT33">
        <v>341686</v>
      </c>
      <c r="BU33">
        <v>360606</v>
      </c>
      <c r="BV33">
        <v>355116</v>
      </c>
      <c r="BW33">
        <v>343956</v>
      </c>
      <c r="BX33">
        <v>341272</v>
      </c>
      <c r="BY33">
        <v>337602</v>
      </c>
      <c r="BZ33">
        <v>338882</v>
      </c>
      <c r="CA33">
        <v>362435</v>
      </c>
      <c r="CB33">
        <v>349915</v>
      </c>
      <c r="CC33">
        <v>344438</v>
      </c>
      <c r="CD33">
        <v>346535</v>
      </c>
      <c r="CE33">
        <v>356182</v>
      </c>
      <c r="CF33">
        <v>356379</v>
      </c>
      <c r="CG33">
        <v>355302</v>
      </c>
      <c r="CH33">
        <v>363149</v>
      </c>
      <c r="CI33">
        <v>342650</v>
      </c>
      <c r="CJ33">
        <v>339953</v>
      </c>
      <c r="CK33">
        <v>350086</v>
      </c>
      <c r="CL33">
        <v>345158</v>
      </c>
      <c r="CM33">
        <v>346159</v>
      </c>
      <c r="CN33">
        <v>343328</v>
      </c>
      <c r="CO33">
        <v>340465</v>
      </c>
      <c r="CP33">
        <v>339977</v>
      </c>
      <c r="CQ33">
        <v>334429</v>
      </c>
      <c r="CR33">
        <v>349215</v>
      </c>
      <c r="CS33">
        <v>351936</v>
      </c>
      <c r="CT33">
        <v>341412</v>
      </c>
      <c r="CU33">
        <v>350983</v>
      </c>
      <c r="CV33">
        <v>352904</v>
      </c>
      <c r="CW33">
        <v>349056</v>
      </c>
      <c r="CX33">
        <v>356112</v>
      </c>
      <c r="CY33">
        <v>333190</v>
      </c>
      <c r="CZ33">
        <v>344713</v>
      </c>
      <c r="DA33">
        <v>349427</v>
      </c>
      <c r="DB33">
        <v>348798</v>
      </c>
      <c r="DC33">
        <v>365369</v>
      </c>
    </row>
    <row r="34" spans="1:107" x14ac:dyDescent="0.2">
      <c r="A34" s="1" t="s">
        <v>691</v>
      </c>
    </row>
    <row r="35" spans="1:107" x14ac:dyDescent="0.2">
      <c r="A35" t="s">
        <v>692</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FB04-055B-0B45-9E20-9B884CC70533}">
  <dimension ref="A1:Q64"/>
  <sheetViews>
    <sheetView workbookViewId="0">
      <selection activeCell="D2" sqref="D2"/>
    </sheetView>
  </sheetViews>
  <sheetFormatPr baseColWidth="10" defaultRowHeight="16" x14ac:dyDescent="0.2"/>
  <cols>
    <col min="3" max="3" width="26.1640625" customWidth="1"/>
  </cols>
  <sheetData>
    <row r="1" spans="1:17" x14ac:dyDescent="0.2">
      <c r="A1" s="1" t="s">
        <v>703</v>
      </c>
    </row>
    <row r="2" spans="1:17" x14ac:dyDescent="0.2">
      <c r="D2" s="1" t="s">
        <v>704</v>
      </c>
      <c r="K2" s="1" t="s">
        <v>705</v>
      </c>
    </row>
    <row r="3" spans="1:17" x14ac:dyDescent="0.2">
      <c r="D3" s="1" t="s">
        <v>571</v>
      </c>
      <c r="E3" s="1" t="s">
        <v>572</v>
      </c>
      <c r="F3" s="1" t="s">
        <v>573</v>
      </c>
      <c r="K3" s="1" t="s">
        <v>564</v>
      </c>
      <c r="L3" s="1" t="s">
        <v>570</v>
      </c>
      <c r="O3" s="1" t="s">
        <v>564</v>
      </c>
      <c r="P3" s="1" t="s">
        <v>570</v>
      </c>
      <c r="Q3" t="s">
        <v>706</v>
      </c>
    </row>
    <row r="4" spans="1:17" x14ac:dyDescent="0.2">
      <c r="C4" s="1" t="s">
        <v>697</v>
      </c>
      <c r="D4">
        <v>64.545199999999994</v>
      </c>
      <c r="E4">
        <v>32.982700000000001</v>
      </c>
      <c r="F4">
        <v>2.4720499999999999</v>
      </c>
      <c r="J4" s="1" t="s">
        <v>697</v>
      </c>
      <c r="K4">
        <v>71.2</v>
      </c>
      <c r="L4">
        <v>28.8</v>
      </c>
      <c r="N4" s="1" t="s">
        <v>697</v>
      </c>
      <c r="O4">
        <v>37</v>
      </c>
      <c r="P4">
        <v>15</v>
      </c>
    </row>
    <row r="5" spans="1:17" x14ac:dyDescent="0.2">
      <c r="C5" s="1" t="s">
        <v>694</v>
      </c>
      <c r="D5">
        <v>60.371200000000002</v>
      </c>
      <c r="E5">
        <v>26.9573</v>
      </c>
      <c r="F5">
        <v>12.6715</v>
      </c>
      <c r="J5" s="1" t="s">
        <v>694</v>
      </c>
      <c r="K5">
        <v>69.05</v>
      </c>
      <c r="L5">
        <v>30.95</v>
      </c>
      <c r="N5" s="1" t="s">
        <v>694</v>
      </c>
      <c r="O5">
        <v>18</v>
      </c>
      <c r="P5">
        <v>11</v>
      </c>
    </row>
    <row r="6" spans="1:17" x14ac:dyDescent="0.2">
      <c r="C6" s="1" t="s">
        <v>695</v>
      </c>
      <c r="D6">
        <v>34.326599999999999</v>
      </c>
      <c r="E6">
        <v>56.667999999999999</v>
      </c>
      <c r="F6">
        <v>9.0054200000000009</v>
      </c>
      <c r="J6" s="1" t="s">
        <v>695</v>
      </c>
      <c r="K6">
        <v>47</v>
      </c>
      <c r="L6">
        <v>53</v>
      </c>
      <c r="N6" s="1" t="s">
        <v>695</v>
      </c>
      <c r="O6">
        <v>82</v>
      </c>
      <c r="P6">
        <v>110</v>
      </c>
    </row>
    <row r="7" spans="1:17" x14ac:dyDescent="0.2">
      <c r="C7" s="1" t="s">
        <v>696</v>
      </c>
      <c r="D7">
        <v>32.597999999999999</v>
      </c>
      <c r="E7">
        <v>57.094000000000001</v>
      </c>
      <c r="F7">
        <v>10.3081</v>
      </c>
      <c r="J7" s="1" t="s">
        <v>696</v>
      </c>
      <c r="K7">
        <v>44.59</v>
      </c>
      <c r="L7">
        <v>55.41</v>
      </c>
      <c r="N7" s="1" t="s">
        <v>696</v>
      </c>
      <c r="O7">
        <v>113</v>
      </c>
      <c r="P7">
        <v>175</v>
      </c>
    </row>
    <row r="9" spans="1:17" x14ac:dyDescent="0.2">
      <c r="C9" s="1" t="s">
        <v>702</v>
      </c>
    </row>
    <row r="10" spans="1:17" x14ac:dyDescent="0.2">
      <c r="C10" s="1"/>
    </row>
    <row r="11" spans="1:17" x14ac:dyDescent="0.2">
      <c r="C11" s="1"/>
    </row>
    <row r="16" spans="1:17" x14ac:dyDescent="0.2">
      <c r="C16" t="s">
        <v>707</v>
      </c>
    </row>
    <row r="17" spans="3:6" x14ac:dyDescent="0.2">
      <c r="D17" s="1" t="s">
        <v>571</v>
      </c>
      <c r="E17" s="1" t="s">
        <v>572</v>
      </c>
      <c r="F17" s="1" t="s">
        <v>573</v>
      </c>
    </row>
    <row r="18" spans="3:6" x14ac:dyDescent="0.2">
      <c r="C18" t="s">
        <v>142</v>
      </c>
      <c r="D18">
        <v>0.64545200000000003</v>
      </c>
      <c r="E18">
        <v>0.32982699999999998</v>
      </c>
      <c r="F18">
        <v>2.4720499999999999E-2</v>
      </c>
    </row>
    <row r="19" spans="3:6" x14ac:dyDescent="0.2">
      <c r="C19" t="s">
        <v>143</v>
      </c>
      <c r="D19">
        <v>0.36186800000000002</v>
      </c>
      <c r="E19">
        <v>0.58565500000000004</v>
      </c>
      <c r="F19">
        <v>5.2476799999999997E-2</v>
      </c>
    </row>
    <row r="20" spans="3:6" x14ac:dyDescent="0.2">
      <c r="C20" t="s">
        <v>144</v>
      </c>
      <c r="D20">
        <v>0.798099</v>
      </c>
      <c r="E20">
        <v>0.187195</v>
      </c>
      <c r="F20">
        <v>1.4705899999999999E-2</v>
      </c>
    </row>
    <row r="21" spans="3:6" x14ac:dyDescent="0.2">
      <c r="C21" t="s">
        <v>145</v>
      </c>
      <c r="D21">
        <v>0.69465200000000005</v>
      </c>
      <c r="E21">
        <v>0.30534800000000001</v>
      </c>
      <c r="F21">
        <v>0</v>
      </c>
    </row>
    <row r="22" spans="3:6" x14ac:dyDescent="0.2">
      <c r="C22" t="s">
        <v>146</v>
      </c>
      <c r="D22">
        <v>0.40909099999999998</v>
      </c>
      <c r="E22">
        <v>0.29090899999999997</v>
      </c>
      <c r="F22">
        <v>0.3</v>
      </c>
    </row>
    <row r="23" spans="3:6" x14ac:dyDescent="0.2">
      <c r="C23" t="s">
        <v>147</v>
      </c>
      <c r="D23">
        <v>0</v>
      </c>
      <c r="E23">
        <v>1</v>
      </c>
      <c r="F23">
        <v>0</v>
      </c>
    </row>
    <row r="24" spans="3:6" x14ac:dyDescent="0.2">
      <c r="C24" t="s">
        <v>148</v>
      </c>
      <c r="D24">
        <v>0</v>
      </c>
      <c r="E24">
        <v>1</v>
      </c>
      <c r="F24">
        <v>0</v>
      </c>
    </row>
    <row r="25" spans="3:6" x14ac:dyDescent="0.2">
      <c r="C25" t="s">
        <v>149</v>
      </c>
      <c r="D25">
        <v>0.86928099999999997</v>
      </c>
      <c r="E25">
        <v>0.130719</v>
      </c>
      <c r="F25">
        <v>0</v>
      </c>
    </row>
    <row r="26" spans="3:6" x14ac:dyDescent="0.2">
      <c r="C26" t="s">
        <v>150</v>
      </c>
      <c r="D26">
        <v>0.23372499999999999</v>
      </c>
      <c r="E26">
        <v>0.76627500000000004</v>
      </c>
      <c r="F26">
        <v>0</v>
      </c>
    </row>
    <row r="27" spans="3:6" x14ac:dyDescent="0.2">
      <c r="C27" t="s">
        <v>151</v>
      </c>
      <c r="D27">
        <v>0.81693000000000005</v>
      </c>
      <c r="E27">
        <v>0.18307000000000001</v>
      </c>
      <c r="F27">
        <v>0</v>
      </c>
    </row>
    <row r="28" spans="3:6" x14ac:dyDescent="0.2">
      <c r="C28" t="s">
        <v>152</v>
      </c>
      <c r="D28">
        <v>0.69696999999999998</v>
      </c>
      <c r="E28">
        <v>0.30303000000000002</v>
      </c>
      <c r="F28">
        <v>0</v>
      </c>
    </row>
    <row r="29" spans="3:6" x14ac:dyDescent="0.2">
      <c r="C29" t="s">
        <v>153</v>
      </c>
      <c r="D29">
        <v>0.464646</v>
      </c>
      <c r="E29">
        <v>0.20202000000000001</v>
      </c>
      <c r="F29">
        <v>0.33333299999999999</v>
      </c>
    </row>
    <row r="30" spans="3:6" x14ac:dyDescent="0.2">
      <c r="C30" t="s">
        <v>154</v>
      </c>
      <c r="D30">
        <v>0.69696999999999998</v>
      </c>
      <c r="E30">
        <v>0.30303000000000002</v>
      </c>
      <c r="F30">
        <v>0</v>
      </c>
    </row>
    <row r="31" spans="3:6" x14ac:dyDescent="0.2">
      <c r="C31" t="s">
        <v>155</v>
      </c>
      <c r="D31">
        <v>0.12398199999999999</v>
      </c>
      <c r="E31">
        <v>0.87601799999999996</v>
      </c>
      <c r="F31">
        <v>0</v>
      </c>
    </row>
    <row r="32" spans="3:6" x14ac:dyDescent="0.2">
      <c r="C32" t="s">
        <v>156</v>
      </c>
      <c r="D32">
        <v>0.147368</v>
      </c>
      <c r="E32">
        <v>0.85263199999999995</v>
      </c>
      <c r="F32">
        <v>0</v>
      </c>
    </row>
    <row r="33" spans="3:6" x14ac:dyDescent="0.2">
      <c r="C33" t="s">
        <v>157</v>
      </c>
      <c r="D33">
        <v>0.41403499999999999</v>
      </c>
      <c r="E33">
        <v>0.57406000000000001</v>
      </c>
      <c r="F33">
        <v>1.19048E-2</v>
      </c>
    </row>
    <row r="34" spans="3:6" x14ac:dyDescent="0.2">
      <c r="C34" t="s">
        <v>158</v>
      </c>
      <c r="D34">
        <v>0.558647</v>
      </c>
      <c r="E34">
        <v>0.40526299999999998</v>
      </c>
      <c r="F34">
        <v>3.6090200000000003E-2</v>
      </c>
    </row>
    <row r="35" spans="3:6" x14ac:dyDescent="0.2">
      <c r="C35" t="s">
        <v>159</v>
      </c>
      <c r="D35">
        <v>3.6789299999999997E-2</v>
      </c>
      <c r="E35">
        <v>0.53265499999999999</v>
      </c>
      <c r="F35">
        <v>0.43055599999999999</v>
      </c>
    </row>
    <row r="36" spans="3:6" x14ac:dyDescent="0.2">
      <c r="C36" t="s">
        <v>160</v>
      </c>
      <c r="D36">
        <v>0</v>
      </c>
      <c r="E36">
        <v>1</v>
      </c>
      <c r="F36">
        <v>0</v>
      </c>
    </row>
    <row r="37" spans="3:6" x14ac:dyDescent="0.2">
      <c r="C37" t="s">
        <v>161</v>
      </c>
      <c r="D37">
        <v>0.211641</v>
      </c>
      <c r="E37">
        <v>0.77926799999999996</v>
      </c>
      <c r="F37">
        <v>9.0909100000000007E-3</v>
      </c>
    </row>
    <row r="38" spans="3:6" x14ac:dyDescent="0.2">
      <c r="C38" t="s">
        <v>162</v>
      </c>
      <c r="D38">
        <v>0.36041699999999999</v>
      </c>
      <c r="E38">
        <v>0.61458299999999999</v>
      </c>
      <c r="F38">
        <v>2.5000000000000001E-2</v>
      </c>
    </row>
    <row r="39" spans="3:6" x14ac:dyDescent="0.2">
      <c r="C39" t="s">
        <v>182</v>
      </c>
      <c r="D39">
        <v>0</v>
      </c>
      <c r="E39">
        <v>0.33333299999999999</v>
      </c>
      <c r="F39">
        <v>0.66666700000000001</v>
      </c>
    </row>
    <row r="40" spans="3:6" x14ac:dyDescent="0.2">
      <c r="C40" t="s">
        <v>183</v>
      </c>
      <c r="D40">
        <v>0</v>
      </c>
      <c r="E40">
        <v>0.88265300000000002</v>
      </c>
      <c r="F40">
        <v>0.11734700000000001</v>
      </c>
    </row>
    <row r="41" spans="3:6" x14ac:dyDescent="0.2">
      <c r="C41" t="s">
        <v>184</v>
      </c>
      <c r="D41">
        <v>0</v>
      </c>
      <c r="E41">
        <v>0.92592600000000003</v>
      </c>
      <c r="F41">
        <v>7.4074100000000004E-2</v>
      </c>
    </row>
    <row r="42" spans="3:6" x14ac:dyDescent="0.2">
      <c r="C42" t="s">
        <v>698</v>
      </c>
      <c r="D42">
        <v>0.79570700000000005</v>
      </c>
      <c r="E42">
        <v>0.15151500000000001</v>
      </c>
      <c r="F42">
        <v>5.27778E-2</v>
      </c>
    </row>
    <row r="43" spans="3:6" x14ac:dyDescent="0.2">
      <c r="C43" t="s">
        <v>699</v>
      </c>
      <c r="D43">
        <v>0.33098300000000003</v>
      </c>
      <c r="E43">
        <v>0.50575099999999995</v>
      </c>
      <c r="F43">
        <v>0.16326499999999999</v>
      </c>
    </row>
    <row r="44" spans="3:6" x14ac:dyDescent="0.2">
      <c r="C44" t="s">
        <v>700</v>
      </c>
      <c r="D44">
        <v>0.75</v>
      </c>
      <c r="E44">
        <v>0</v>
      </c>
      <c r="F44">
        <v>0.25</v>
      </c>
    </row>
    <row r="45" spans="3:6" x14ac:dyDescent="0.2">
      <c r="C45" t="s">
        <v>701</v>
      </c>
      <c r="D45">
        <v>0.538157</v>
      </c>
      <c r="E45">
        <v>0.42102699999999998</v>
      </c>
      <c r="F45">
        <v>4.08163E-2</v>
      </c>
    </row>
    <row r="46" spans="3:6" x14ac:dyDescent="0.2">
      <c r="C46" t="s">
        <v>167</v>
      </c>
      <c r="D46">
        <v>3.4420300000000001E-2</v>
      </c>
      <c r="E46">
        <v>0.60960999999999999</v>
      </c>
      <c r="F46">
        <v>0.35597000000000001</v>
      </c>
    </row>
    <row r="47" spans="3:6" x14ac:dyDescent="0.2">
      <c r="C47" t="s">
        <v>168</v>
      </c>
      <c r="D47">
        <v>0.126888</v>
      </c>
      <c r="E47">
        <v>0.81050900000000003</v>
      </c>
      <c r="F47">
        <v>6.2603199999999998E-2</v>
      </c>
    </row>
    <row r="48" spans="3:6" x14ac:dyDescent="0.2">
      <c r="C48" t="s">
        <v>169</v>
      </c>
      <c r="D48">
        <v>0.15356600000000001</v>
      </c>
      <c r="E48">
        <v>0.44948700000000003</v>
      </c>
      <c r="F48">
        <v>0.39694699999999999</v>
      </c>
    </row>
    <row r="49" spans="3:6" x14ac:dyDescent="0.2">
      <c r="C49" t="s">
        <v>170</v>
      </c>
      <c r="D49">
        <v>0.26145800000000002</v>
      </c>
      <c r="E49">
        <v>0.6744</v>
      </c>
      <c r="F49">
        <v>6.4141400000000001E-2</v>
      </c>
    </row>
    <row r="50" spans="3:6" x14ac:dyDescent="0.2">
      <c r="C50" t="s">
        <v>171</v>
      </c>
      <c r="D50">
        <v>0.23131299999999999</v>
      </c>
      <c r="E50">
        <v>0.76868700000000001</v>
      </c>
      <c r="F50">
        <v>0</v>
      </c>
    </row>
    <row r="51" spans="3:6" x14ac:dyDescent="0.2">
      <c r="C51" t="s">
        <v>172</v>
      </c>
      <c r="D51">
        <v>0.14690400000000001</v>
      </c>
      <c r="E51">
        <v>0.81738200000000005</v>
      </c>
      <c r="F51">
        <v>3.5714299999999997E-2</v>
      </c>
    </row>
    <row r="52" spans="3:6" x14ac:dyDescent="0.2">
      <c r="C52" t="s">
        <v>173</v>
      </c>
      <c r="D52">
        <v>0.50671500000000003</v>
      </c>
      <c r="E52">
        <v>0.49077900000000002</v>
      </c>
      <c r="F52">
        <v>2.5062700000000001E-3</v>
      </c>
    </row>
    <row r="53" spans="3:6" x14ac:dyDescent="0.2">
      <c r="C53" t="s">
        <v>174</v>
      </c>
      <c r="D53">
        <v>0.106839</v>
      </c>
      <c r="E53">
        <v>0.80225199999999997</v>
      </c>
      <c r="F53">
        <v>9.0909100000000007E-2</v>
      </c>
    </row>
    <row r="54" spans="3:6" x14ac:dyDescent="0.2">
      <c r="C54" t="s">
        <v>175</v>
      </c>
      <c r="D54">
        <v>0.28490399999999999</v>
      </c>
      <c r="E54">
        <v>0.65892600000000001</v>
      </c>
      <c r="F54">
        <v>5.6169400000000001E-2</v>
      </c>
    </row>
    <row r="55" spans="3:6" x14ac:dyDescent="0.2">
      <c r="C55" t="s">
        <v>176</v>
      </c>
      <c r="D55">
        <v>0.11783100000000001</v>
      </c>
      <c r="E55">
        <v>0.84252700000000003</v>
      </c>
      <c r="F55">
        <v>3.96426E-2</v>
      </c>
    </row>
    <row r="56" spans="3:6" x14ac:dyDescent="0.2">
      <c r="C56" t="s">
        <v>177</v>
      </c>
      <c r="D56">
        <v>8.6098400000000005E-2</v>
      </c>
      <c r="E56">
        <v>0.65732299999999999</v>
      </c>
      <c r="F56">
        <v>0.256579</v>
      </c>
    </row>
    <row r="57" spans="3:6" x14ac:dyDescent="0.2">
      <c r="C57" t="s">
        <v>178</v>
      </c>
      <c r="D57">
        <v>0</v>
      </c>
      <c r="E57">
        <v>0.75</v>
      </c>
      <c r="F57">
        <v>0.25</v>
      </c>
    </row>
    <row r="58" spans="3:6" x14ac:dyDescent="0.2">
      <c r="C58" t="s">
        <v>179</v>
      </c>
      <c r="D58">
        <v>9.9567100000000006E-2</v>
      </c>
      <c r="E58">
        <v>0.59431</v>
      </c>
      <c r="F58">
        <v>0.30612200000000001</v>
      </c>
    </row>
    <row r="59" spans="3:6" x14ac:dyDescent="0.2">
      <c r="C59" t="s">
        <v>180</v>
      </c>
      <c r="D59">
        <v>0.66335299999999997</v>
      </c>
      <c r="E59">
        <v>0.312224</v>
      </c>
      <c r="F59">
        <v>2.4422300000000001E-2</v>
      </c>
    </row>
    <row r="60" spans="3:6" x14ac:dyDescent="0.2">
      <c r="C60" t="s">
        <v>181</v>
      </c>
      <c r="D60">
        <v>0.72343800000000003</v>
      </c>
      <c r="E60">
        <v>0.25975500000000001</v>
      </c>
      <c r="F60">
        <v>1.6806700000000001E-2</v>
      </c>
    </row>
    <row r="61" spans="3:6" x14ac:dyDescent="0.2">
      <c r="C61" t="s">
        <v>185</v>
      </c>
      <c r="D61">
        <v>0.69275399999999998</v>
      </c>
      <c r="E61">
        <v>0.30724600000000002</v>
      </c>
      <c r="F61">
        <v>0</v>
      </c>
    </row>
    <row r="62" spans="3:6" x14ac:dyDescent="0.2">
      <c r="C62" t="s">
        <v>186</v>
      </c>
      <c r="D62">
        <v>0.67298000000000002</v>
      </c>
      <c r="E62">
        <v>0.32701999999999998</v>
      </c>
      <c r="F62">
        <v>0</v>
      </c>
    </row>
    <row r="63" spans="3:6" x14ac:dyDescent="0.2">
      <c r="C63" t="s">
        <v>187</v>
      </c>
      <c r="D63">
        <v>0.587615</v>
      </c>
      <c r="E63">
        <v>0.412385</v>
      </c>
      <c r="F63">
        <v>0</v>
      </c>
    </row>
    <row r="64" spans="3:6" x14ac:dyDescent="0.2">
      <c r="C64" t="s">
        <v>188</v>
      </c>
      <c r="D64">
        <v>0.69696999999999998</v>
      </c>
      <c r="E64">
        <v>0.30303000000000002</v>
      </c>
      <c r="F6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Example image links</vt:lpstr>
      <vt:lpstr>Figs. 2b, 5b-d</vt:lpstr>
      <vt:lpstr>Fig 2c</vt:lpstr>
      <vt:lpstr>Fig 2f</vt:lpstr>
      <vt:lpstr>Fig. 2g, 5f, g, h</vt:lpstr>
      <vt:lpstr>Fig 2h</vt:lpstr>
      <vt:lpstr>Fig 3d, 4a,b,c</vt:lpstr>
      <vt:lpstr>Fig 3g</vt:lpstr>
      <vt:lpstr>Fig 3h</vt:lpstr>
      <vt:lpstr>Fig. 5i, j</vt:lpstr>
      <vt:lpstr>Fig. 6b, c</vt:lpstr>
      <vt:lpstr>'Fig 2h'!aff_similarity_quantify</vt:lpstr>
      <vt:lpstr>'Fig 2c'!hc_similarity_quantify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2021-01-19T19:57:10Z</dcterms:created>
  <dcterms:modified xsi:type="dcterms:W3CDTF">2022-06-30T17:34:18Z</dcterms:modified>
</cp:coreProperties>
</file>