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habagnall/Marfa/Manuscripts/Connectome paper/Resubmission/"/>
    </mc:Choice>
  </mc:AlternateContent>
  <xr:revisionPtr revIDLastSave="0" documentId="8_{76D2D971-DFDC-B140-B32F-39AD0D448988}" xr6:coauthVersionLast="46" xr6:coauthVersionMax="46" xr10:uidLastSave="{00000000-0000-0000-0000-000000000000}"/>
  <bookViews>
    <workbookView xWindow="2280" yWindow="460" windowWidth="34480" windowHeight="24620" xr2:uid="{D3DD218B-8F0D-8149-8432-9FDEEEC9A65E}"/>
  </bookViews>
  <sheets>
    <sheet name="Matrix" sheetId="1" r:id="rId1"/>
  </sheets>
  <definedNames>
    <definedName name="HC_to_Aff_5Apr2021" localSheetId="0">Matrix!$A$1:$DD$92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D95" i="1" l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5" i="1"/>
  <c r="C9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40C3B8-1123-7B47-8F90-99CB6E2F4768}" name="HC_to_Aff_5Apr2021" type="6" refreshedVersion="6" background="1" saveData="1">
    <textPr sourceFile="/Users/marthabagnall/Marfa/Manuscripts/Connectome paper/all analysis data/HC_to_Aff_5Apr2021.csv" comma="1">
      <textFields count="107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<sst xmlns="http://schemas.openxmlformats.org/spreadsheetml/2006/main" count="210" uniqueCount="210">
  <si>
    <t>AM_haircell_R_01</t>
  </si>
  <si>
    <t>AM_haircell_R_02</t>
  </si>
  <si>
    <t>AM_haircell_R_03</t>
  </si>
  <si>
    <t>AM_haircell_R_04</t>
  </si>
  <si>
    <t>AM_haircell_R_05</t>
  </si>
  <si>
    <t>AM_haircell_R_06</t>
  </si>
  <si>
    <t>AM_haircell_R_07</t>
  </si>
  <si>
    <t>AM_haircell_R_08</t>
  </si>
  <si>
    <t>AM_haircell_R_09</t>
  </si>
  <si>
    <t>AM_haircell_R_10</t>
  </si>
  <si>
    <t>AM_haircell_R_11</t>
  </si>
  <si>
    <t>AM_haircell_R_12</t>
  </si>
  <si>
    <t>AM_haircell_R_13</t>
  </si>
  <si>
    <t>AM_haircell_R_14</t>
  </si>
  <si>
    <t>AM_haircell_R_15</t>
  </si>
  <si>
    <t>AM_haircell_R_16</t>
  </si>
  <si>
    <t>AM_haircell_R_17</t>
  </si>
  <si>
    <t>AM_haircell_R_18</t>
  </si>
  <si>
    <t>AM_haircell_R_19</t>
  </si>
  <si>
    <t>AM_haircell_R_20</t>
  </si>
  <si>
    <t>AM_haircell_R_21</t>
  </si>
  <si>
    <t>AM_haircell_R_22</t>
  </si>
  <si>
    <t>AM_haircell_R_23</t>
  </si>
  <si>
    <t>AM_haircell_R_24</t>
  </si>
  <si>
    <t>AM_haircell_R_25</t>
  </si>
  <si>
    <t>AM_haircell_R_26</t>
  </si>
  <si>
    <t>AM_haircell_R_27</t>
  </si>
  <si>
    <t>AM_haircell_R_28</t>
  </si>
  <si>
    <t>AM_haircell_R_29</t>
  </si>
  <si>
    <t>AM_haircell_R_30</t>
  </si>
  <si>
    <t>AM_haircell_R_31</t>
  </si>
  <si>
    <t>AM_haircell_R_32</t>
  </si>
  <si>
    <t>AM_haircell_R_33</t>
  </si>
  <si>
    <t>AM_haircell_R_34</t>
  </si>
  <si>
    <t>AM_haircell_R_35</t>
  </si>
  <si>
    <t>AM_haircell_R_36</t>
  </si>
  <si>
    <t>AM_haircell_R_37</t>
  </si>
  <si>
    <t>AM_haircell_R_38</t>
  </si>
  <si>
    <t>AM_haircell_R_39</t>
  </si>
  <si>
    <t>AM_haircell_R_40</t>
  </si>
  <si>
    <t>AM_haircell_R_41</t>
  </si>
  <si>
    <t>AM_haircell_R_42</t>
  </si>
  <si>
    <t>AM_haircell_R_43</t>
  </si>
  <si>
    <t>AM_haircell_R_44</t>
  </si>
  <si>
    <t>AM_haircell_R_45</t>
  </si>
  <si>
    <t>AM_haircell_R_46</t>
  </si>
  <si>
    <t>AM_haircell_R_47</t>
  </si>
  <si>
    <t>AM_haircell_R_48</t>
  </si>
  <si>
    <t>AM_haircell_R_49</t>
  </si>
  <si>
    <t>AM_haircell_R_50</t>
  </si>
  <si>
    <t>AM_haircell_R_51</t>
  </si>
  <si>
    <t>AM_haircell_R_52</t>
  </si>
  <si>
    <t>AM_haircell_R_53</t>
  </si>
  <si>
    <t>AM_haircell_R_54</t>
  </si>
  <si>
    <t>AM_haircell_R_55</t>
  </si>
  <si>
    <t>AM_haircell_R_56</t>
  </si>
  <si>
    <t>AM_haircell_R_57</t>
  </si>
  <si>
    <t>AM_haircell_R_58</t>
  </si>
  <si>
    <t>AM_haircell_R_59</t>
  </si>
  <si>
    <t>AM_haircell_R_60</t>
  </si>
  <si>
    <t>AM_haircell_R_61</t>
  </si>
  <si>
    <t>AM_haircell_R_62</t>
  </si>
  <si>
    <t>AM_haircell_R_63</t>
  </si>
  <si>
    <t>AM_haircell_R_64</t>
  </si>
  <si>
    <t>AM_haircell_R_65</t>
  </si>
  <si>
    <t>AM_haircell_R_66</t>
  </si>
  <si>
    <t>AM_haircell_R_67</t>
  </si>
  <si>
    <t>AM_haircell_R_68</t>
  </si>
  <si>
    <t>AM_haircell_R_69</t>
  </si>
  <si>
    <t>AM_haircell_R_70</t>
  </si>
  <si>
    <t>AM_haircell_R_71</t>
  </si>
  <si>
    <t>AM_haircell_R_72</t>
  </si>
  <si>
    <t>AM_haircell_R_73</t>
  </si>
  <si>
    <t>AM_haircell_R_74</t>
  </si>
  <si>
    <t>AM_haircell_R_75</t>
  </si>
  <si>
    <t>AM_haircell_R_76</t>
  </si>
  <si>
    <t>AM_haircell_R_77</t>
  </si>
  <si>
    <t>AM_haircell_R_78</t>
  </si>
  <si>
    <t>AM_haircell_R_79</t>
  </si>
  <si>
    <t>AM_haircell_R_80</t>
  </si>
  <si>
    <t>AM_haircell_R_81</t>
  </si>
  <si>
    <t>AM_haircell_R_82</t>
  </si>
  <si>
    <t>AM_haircell_R_83</t>
  </si>
  <si>
    <t>AM_haircell_R_84</t>
  </si>
  <si>
    <t>AM_haircell_R_85</t>
  </si>
  <si>
    <t>AM_haircell_R_86</t>
  </si>
  <si>
    <t>AM_haircell_R_87</t>
  </si>
  <si>
    <t>AM_haircell_R_88</t>
  </si>
  <si>
    <t>AM_haircell_R_89</t>
  </si>
  <si>
    <t>AM_haircell_R_90</t>
  </si>
  <si>
    <t>AM_haircell_R_91</t>
  </si>
  <si>
    <t xml:space="preserve"> Ear_AnteriorMacula_R_01</t>
  </si>
  <si>
    <t xml:space="preserve"> Ear_AnteriorMacula_R_02</t>
  </si>
  <si>
    <t xml:space="preserve"> Ear_AnteriorMacula_R_03</t>
  </si>
  <si>
    <t xml:space="preserve"> Ear_AnteriorMacula_R_04</t>
  </si>
  <si>
    <t xml:space="preserve"> Ear_AnteriorMacula_R_05</t>
  </si>
  <si>
    <t xml:space="preserve"> Ear_AnteriorMacula_R_06</t>
  </si>
  <si>
    <t xml:space="preserve"> Ear_AnteriorMacula_R_07</t>
  </si>
  <si>
    <t xml:space="preserve"> Ear_AnteriorMacula_R_08</t>
  </si>
  <si>
    <t xml:space="preserve"> Ear_AnteriorMacula_R_09</t>
  </si>
  <si>
    <t xml:space="preserve"> Ear_AnteriorMacula_R_10</t>
  </si>
  <si>
    <t xml:space="preserve"> Ear_AnteriorMacula_R_11</t>
  </si>
  <si>
    <t xml:space="preserve"> Ear_AnteriorMacula_R_12</t>
  </si>
  <si>
    <t xml:space="preserve"> Ear_AnteriorMacula_R_13</t>
  </si>
  <si>
    <t xml:space="preserve"> Ear_AnteriorMacula_R_14</t>
  </si>
  <si>
    <t xml:space="preserve"> Ear_AnteriorMacula_R_15</t>
  </si>
  <si>
    <t xml:space="preserve"> Ear_AnteriorMacula_R_16</t>
  </si>
  <si>
    <t xml:space="preserve"> ear_anteriormacula_R_17</t>
  </si>
  <si>
    <t xml:space="preserve"> ear_anteriormacula_R_unmyelinated10</t>
  </si>
  <si>
    <t xml:space="preserve"> ear_anteriormacula_R_unmyelinated11</t>
  </si>
  <si>
    <t xml:space="preserve"> ear_anteriormacula_R_unmyelinated12</t>
  </si>
  <si>
    <t xml:space="preserve"> ear_anteriormacula_R_unmyelinated13</t>
  </si>
  <si>
    <t xml:space="preserve"> ear_anteriormacula_R_unmyelinated14</t>
  </si>
  <si>
    <t xml:space="preserve"> ear_anteriormacula_R_unmyelinated15</t>
  </si>
  <si>
    <t xml:space="preserve"> ear_anteriormacula_R_unmyelinated16</t>
  </si>
  <si>
    <t xml:space="preserve"> ear_anteriormacula_R_unmyelinated17</t>
  </si>
  <si>
    <t xml:space="preserve"> ear_anteriormacula_R_unmyelinated18</t>
  </si>
  <si>
    <t xml:space="preserve"> ear_anteriormacula_R_unmyelinated19</t>
  </si>
  <si>
    <t xml:space="preserve"> ear_anteriormacula_R_unmyelinated20</t>
  </si>
  <si>
    <t xml:space="preserve"> ear_anteriormacula_R_unmyelinated21</t>
  </si>
  <si>
    <t xml:space="preserve"> ear_anteriormacula_R_unmyelinated22</t>
  </si>
  <si>
    <t xml:space="preserve"> ear_anteriormacula_R_unmyelinated23</t>
  </si>
  <si>
    <t xml:space="preserve"> ear_anteriormacula_R_unmyelinated24</t>
  </si>
  <si>
    <t xml:space="preserve"> ear_anteriormacula_R_unmyelinated25</t>
  </si>
  <si>
    <t xml:space="preserve"> ear_anteriormacula_R_unmyelinated26</t>
  </si>
  <si>
    <t xml:space="preserve"> ear_anteriormacula_R_unmyelinated27</t>
  </si>
  <si>
    <t xml:space="preserve"> ear_anteriormacula_R_unmyelinated28</t>
  </si>
  <si>
    <t xml:space="preserve"> ear_anteriormacula_R_unmyelinated29</t>
  </si>
  <si>
    <t xml:space="preserve"> ear_anteriormacula_R_unmyelinated30</t>
  </si>
  <si>
    <t xml:space="preserve"> ear_anteriormacula_R_unmyelinated31</t>
  </si>
  <si>
    <t xml:space="preserve"> ear_anteriormacula_R_unmyelinated32</t>
  </si>
  <si>
    <t xml:space="preserve"> ear_anteriormacula_R_unmyelinated33</t>
  </si>
  <si>
    <t xml:space="preserve"> ear_anteriormacula_R_unmyelinated34</t>
  </si>
  <si>
    <t xml:space="preserve"> ear_anteriormacula_R_unmyelinated35</t>
  </si>
  <si>
    <t xml:space="preserve"> ear_anteriormacula_R_unmyelinated36</t>
  </si>
  <si>
    <t xml:space="preserve"> ear_anteriormacula_R_unmyelinated37</t>
  </si>
  <si>
    <t xml:space="preserve"> ear_anteriormacula_R_unmyelinated38</t>
  </si>
  <si>
    <t xml:space="preserve"> ear_anteriormacula_R_unmyelinated39</t>
  </si>
  <si>
    <t xml:space="preserve"> ear_anteriormacula_R_unmyelinated40</t>
  </si>
  <si>
    <t xml:space="preserve"> ear_anteriormacula_R_unmyelinated41</t>
  </si>
  <si>
    <t xml:space="preserve"> ear_anteriormacula_R_unmyelinated42</t>
  </si>
  <si>
    <t xml:space="preserve"> ear_anteriormacula_R_unmyelinated43</t>
  </si>
  <si>
    <t xml:space="preserve"> ear_anteriormacula_R_unmyelinated44</t>
  </si>
  <si>
    <t xml:space="preserve"> ear_anteriormacula_R_unmyelinated45</t>
  </si>
  <si>
    <t xml:space="preserve"> ear_anteriormacula_R_unmyelinated46</t>
  </si>
  <si>
    <t xml:space="preserve"> ear_anteriormacula_R_unmyelinated47</t>
  </si>
  <si>
    <t xml:space="preserve"> ear_anteriormacula_R_unmyelinated48</t>
  </si>
  <si>
    <t xml:space="preserve"> ear_anteriormacula_R_unmyelinated49</t>
  </si>
  <si>
    <t xml:space="preserve"> ear_anteriormacula_R_unmyelinated50</t>
  </si>
  <si>
    <t xml:space="preserve"> ear_anteriormacula_R_unmyelinated51</t>
  </si>
  <si>
    <t xml:space="preserve"> ear_anteriormacula_R_unmyelinated52</t>
  </si>
  <si>
    <t xml:space="preserve"> ear_anteriormacula_R_unmyelinated53</t>
  </si>
  <si>
    <t xml:space="preserve"> ear_anteriormacula_R_unmyelinated54</t>
  </si>
  <si>
    <t xml:space="preserve"> ear_anteriormacula_R_unmyelinated55</t>
  </si>
  <si>
    <t xml:space="preserve"> ear_anteriormacula_R_unmyelinated56</t>
  </si>
  <si>
    <t xml:space="preserve"> ear_anteriormacula_R_unmyelinated57</t>
  </si>
  <si>
    <t xml:space="preserve"> ear_anteriormacula_R_unmyelinated58</t>
  </si>
  <si>
    <t xml:space="preserve"> ear_anteriormacula_R_unmyelinated59</t>
  </si>
  <si>
    <t xml:space="preserve"> ear_anteriormacula_R_unmyelinated60</t>
  </si>
  <si>
    <t xml:space="preserve"> ear_anteriormacula_R_unmyelinated61</t>
  </si>
  <si>
    <t xml:space="preserve"> ear_anteriormacula_R_unmyelinated62</t>
  </si>
  <si>
    <t xml:space="preserve"> ear_anteriormacula_R_unmyelinated63</t>
  </si>
  <si>
    <t xml:space="preserve"> ear_anteriormacula_R_unmyelinated64</t>
  </si>
  <si>
    <t xml:space="preserve"> ear_anteriormacula_R_unmyelinated65</t>
  </si>
  <si>
    <t xml:space="preserve"> ear_anteriormacula_R_unmyelinated66</t>
  </si>
  <si>
    <t xml:space="preserve"> ear_anteriormacula_R_unmyelinated67</t>
  </si>
  <si>
    <t xml:space="preserve"> ear_anteriormacula_R_unmyelinated68</t>
  </si>
  <si>
    <t xml:space="preserve"> ear_anteriormacula_R_unmyelinated69</t>
  </si>
  <si>
    <t xml:space="preserve"> ear_anteriormacula_R_unmyelinated70</t>
  </si>
  <si>
    <t xml:space="preserve"> ear_anteriormacula_R_unmyelinated71</t>
  </si>
  <si>
    <t xml:space="preserve"> ear_anteriormacula_R_unmyelinated72</t>
  </si>
  <si>
    <t xml:space="preserve"> ear_anteriormacula_R_unmyelinated73</t>
  </si>
  <si>
    <t xml:space="preserve"> ear_anteriormacula_R_unmyelinated74</t>
  </si>
  <si>
    <t xml:space="preserve"> ear_anteriormacula_R_unmyelinated75</t>
  </si>
  <si>
    <t xml:space="preserve"> ear_anteriormacula_R_unmyelinated76</t>
  </si>
  <si>
    <t xml:space="preserve"> ear_anteriormacula_R_unmyelinated77</t>
  </si>
  <si>
    <t xml:space="preserve"> ear_anteriormacula_R_unmyelinated78</t>
  </si>
  <si>
    <t xml:space="preserve"> ear_anteriormacula_R_unmyelinated79</t>
  </si>
  <si>
    <t xml:space="preserve"> ear_anteriormacula_R_unmyelinated80</t>
  </si>
  <si>
    <t xml:space="preserve"> ear_anteriormacula_R_unmyelinated81</t>
  </si>
  <si>
    <t xml:space="preserve"> ear_anteriormacula_R_unmyelinated82</t>
  </si>
  <si>
    <t xml:space="preserve"> ear_anteriormacula_R_unmyelinated83</t>
  </si>
  <si>
    <t xml:space="preserve"> ear_anteriormacula_R_unmyelinated84</t>
  </si>
  <si>
    <t xml:space="preserve"> ear_anteriormacula_R_unmyelinated85</t>
  </si>
  <si>
    <t xml:space="preserve"> ear_anteriormacula_R_unmyelinated86</t>
  </si>
  <si>
    <t xml:space="preserve"> ear_anteriormacula_R_unmyelinated87</t>
  </si>
  <si>
    <t xml:space="preserve"> ear_anteriormacula_R_unmyelinated88</t>
  </si>
  <si>
    <t xml:space="preserve"> ear_anteriormacula_R_unmyelinated89</t>
  </si>
  <si>
    <t>SUM ribbons</t>
  </si>
  <si>
    <t>Distinct HCs</t>
  </si>
  <si>
    <t>HC ID</t>
  </si>
  <si>
    <t xml:space="preserve"> ear_anteriormacula_R_unmyelinated08</t>
  </si>
  <si>
    <t xml:space="preserve"> ear_anteriormacula_R_unmyelinated02</t>
  </si>
  <si>
    <t xml:space="preserve"> ear_anteriormacula_R_unmyelinated04</t>
  </si>
  <si>
    <t xml:space="preserve"> ear_anteriormacula_R_unmyelinated03</t>
  </si>
  <si>
    <t xml:space="preserve"> ear_anteriormacula_R_unmyelinated05</t>
  </si>
  <si>
    <t xml:space="preserve"> ear_anteriormacula_R_unmyelinated06</t>
  </si>
  <si>
    <t xml:space="preserve"> ear_anteriormacula_R_unmyelinated09</t>
  </si>
  <si>
    <t xml:space="preserve"> ear_anteriormacula_R_unmyelinated01</t>
  </si>
  <si>
    <t xml:space="preserve"> ear_anteriormacula_R_unmyelinated07</t>
  </si>
  <si>
    <t>HC name</t>
  </si>
  <si>
    <t>Hair cell ID:</t>
  </si>
  <si>
    <t>1 = striolar</t>
  </si>
  <si>
    <t>2 = extrastriolar</t>
  </si>
  <si>
    <t>Hair cell tuning</t>
  </si>
  <si>
    <t>0 = maximally sensitive to rightward (ipsilateral) tilt</t>
  </si>
  <si>
    <t>Pi/2 = maximally sensitive to rostral tilt</t>
  </si>
  <si>
    <t>Values of hair cell tuning are in radians</t>
  </si>
  <si>
    <t>Soma for ear_anteriormacula_R_unmyelinated20 could not be found and therefore is excluded from analysis</t>
  </si>
  <si>
    <t>3 = immature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</si>
</sst>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0" fillId="0" borderId="1" xfId="0" applyBorder="1"/>
    <xf numFmtId="0" fontId="0" fillId="0" borderId="0" xfId="0" applyBorder="1"/>
    <xf numFmtId="0" fontId="1" fillId="0" borderId="0" xfId="0" applyFont="1"/>
    <xf numFmtId="0" fontId="1" fillId="0" borderId="0" xfId="0" applyFont="1" applyAlignment="1">
      <alignment horizontal="right" textRotation="180"/>
    </xf>
    <xf numFmtId="0" fontId="2" fillId="0" borderId="0" xfId="0" applyFont="1"/>
    <xf numFmtId="0" fontId="3" fillId="0" borderId="0" xfId="0" applyFont="1" applyAlignment="1">
      <alignment horizontal="right" textRotation="180"/>
    </xf>
    <xf numFmtId="0" fontId="2" fillId="0" borderId="1" xfId="0" applyFont="1" applyBorder="1"/>
    <xf numFmtId="0" fontId="2" fillId="0" borderId="0" xfId="0" applyFont="1" applyBorder="1"/>
    <xf numFmtId="0" fontId="3" fillId="0" borderId="0" xfId="0" applyFont="1"/>
    <xf numFmtId="0" fontId="1" fillId="0" borderId="0" xfId="0" applyFont="1" applyAlignment="1">
      <alignment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C_to_Aff_5Apr2021" connectionId="1" xr16:uid="{967E21C0-50C9-534D-B486-D8F68646B35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C02D-7534-634D-9DFA-F2B1178A258D}">
  <dimension ref="A1:DL159"/>
  <sheetViews>
    <sheetView tabSelected="1" workbookViewId="0">
      <pane xSplit="2420" ySplit="4640" topLeftCell="G1" activePane="bottomRight"/>
      <selection sqref="A1:XFD1"/>
      <selection pane="topRight" activeCell="T1" sqref="T1:T1048576"/>
      <selection pane="bottomLeft" activeCell="A10" sqref="A10:XFD10"/>
      <selection pane="bottomRight" activeCell="C2" sqref="C2"/>
    </sheetView>
  </sheetViews>
  <sheetFormatPr baseColWidth="10" defaultRowHeight="16" x14ac:dyDescent="0.2"/>
  <cols>
    <col min="1" max="1" width="16.33203125" bestFit="1" customWidth="1"/>
    <col min="2" max="2" width="13" customWidth="1"/>
    <col min="3" max="38" width="4.5" customWidth="1"/>
    <col min="39" max="39" width="4.5" style="7" customWidth="1"/>
    <col min="40" max="108" width="4.5" customWidth="1"/>
  </cols>
  <sheetData>
    <row r="1" spans="1:116" s="6" customFormat="1" ht="210" x14ac:dyDescent="0.2">
      <c r="A1" s="6" t="s">
        <v>200</v>
      </c>
      <c r="B1" s="6" t="s">
        <v>190</v>
      </c>
      <c r="C1" s="6" t="s">
        <v>91</v>
      </c>
      <c r="D1" s="6" t="s">
        <v>92</v>
      </c>
      <c r="E1" s="6" t="s">
        <v>93</v>
      </c>
      <c r="F1" s="6" t="s">
        <v>94</v>
      </c>
      <c r="G1" s="6" t="s">
        <v>95</v>
      </c>
      <c r="H1" s="6" t="s">
        <v>96</v>
      </c>
      <c r="I1" s="6" t="s">
        <v>97</v>
      </c>
      <c r="J1" s="6" t="s">
        <v>98</v>
      </c>
      <c r="K1" s="6" t="s">
        <v>99</v>
      </c>
      <c r="L1" s="6" t="s">
        <v>100</v>
      </c>
      <c r="M1" s="6" t="s">
        <v>101</v>
      </c>
      <c r="N1" s="6" t="s">
        <v>102</v>
      </c>
      <c r="O1" s="6" t="s">
        <v>103</v>
      </c>
      <c r="P1" s="6" t="s">
        <v>104</v>
      </c>
      <c r="Q1" s="6" t="s">
        <v>105</v>
      </c>
      <c r="R1" s="6" t="s">
        <v>106</v>
      </c>
      <c r="S1" s="6" t="s">
        <v>107</v>
      </c>
      <c r="T1" s="6" t="s">
        <v>198</v>
      </c>
      <c r="U1" s="6" t="s">
        <v>192</v>
      </c>
      <c r="V1" s="6" t="s">
        <v>194</v>
      </c>
      <c r="W1" s="6" t="s">
        <v>193</v>
      </c>
      <c r="X1" s="6" t="s">
        <v>195</v>
      </c>
      <c r="Y1" s="6" t="s">
        <v>196</v>
      </c>
      <c r="Z1" s="6" t="s">
        <v>199</v>
      </c>
      <c r="AA1" s="6" t="s">
        <v>191</v>
      </c>
      <c r="AB1" s="6" t="s">
        <v>197</v>
      </c>
      <c r="AC1" s="6" t="s">
        <v>108</v>
      </c>
      <c r="AD1" s="6" t="s">
        <v>109</v>
      </c>
      <c r="AE1" s="6" t="s">
        <v>110</v>
      </c>
      <c r="AF1" s="6" t="s">
        <v>111</v>
      </c>
      <c r="AG1" s="6" t="s">
        <v>112</v>
      </c>
      <c r="AH1" s="6" t="s">
        <v>113</v>
      </c>
      <c r="AI1" s="6" t="s">
        <v>114</v>
      </c>
      <c r="AJ1" s="6" t="s">
        <v>115</v>
      </c>
      <c r="AK1" s="6" t="s">
        <v>116</v>
      </c>
      <c r="AL1" s="6" t="s">
        <v>117</v>
      </c>
      <c r="AM1" s="8" t="s">
        <v>118</v>
      </c>
      <c r="AN1" s="6" t="s">
        <v>119</v>
      </c>
      <c r="AO1" s="6" t="s">
        <v>120</v>
      </c>
      <c r="AP1" s="6" t="s">
        <v>121</v>
      </c>
      <c r="AQ1" s="6" t="s">
        <v>122</v>
      </c>
      <c r="AR1" s="6" t="s">
        <v>123</v>
      </c>
      <c r="AS1" s="6" t="s">
        <v>124</v>
      </c>
      <c r="AT1" s="6" t="s">
        <v>125</v>
      </c>
      <c r="AU1" s="6" t="s">
        <v>126</v>
      </c>
      <c r="AV1" s="6" t="s">
        <v>127</v>
      </c>
      <c r="AW1" s="6" t="s">
        <v>128</v>
      </c>
      <c r="AX1" s="6" t="s">
        <v>129</v>
      </c>
      <c r="AY1" s="6" t="s">
        <v>130</v>
      </c>
      <c r="AZ1" s="6" t="s">
        <v>131</v>
      </c>
      <c r="BA1" s="6" t="s">
        <v>132</v>
      </c>
      <c r="BB1" s="6" t="s">
        <v>133</v>
      </c>
      <c r="BC1" s="6" t="s">
        <v>134</v>
      </c>
      <c r="BD1" s="6" t="s">
        <v>135</v>
      </c>
      <c r="BE1" s="6" t="s">
        <v>136</v>
      </c>
      <c r="BF1" s="6" t="s">
        <v>137</v>
      </c>
      <c r="BG1" s="6" t="s">
        <v>138</v>
      </c>
      <c r="BH1" s="6" t="s">
        <v>139</v>
      </c>
      <c r="BI1" s="6" t="s">
        <v>140</v>
      </c>
      <c r="BJ1" s="6" t="s">
        <v>141</v>
      </c>
      <c r="BK1" s="6" t="s">
        <v>142</v>
      </c>
      <c r="BL1" s="6" t="s">
        <v>143</v>
      </c>
      <c r="BM1" s="6" t="s">
        <v>144</v>
      </c>
      <c r="BN1" s="6" t="s">
        <v>145</v>
      </c>
      <c r="BO1" s="6" t="s">
        <v>146</v>
      </c>
      <c r="BP1" s="6" t="s">
        <v>147</v>
      </c>
      <c r="BQ1" s="6" t="s">
        <v>148</v>
      </c>
      <c r="BR1" s="6" t="s">
        <v>149</v>
      </c>
      <c r="BS1" s="6" t="s">
        <v>150</v>
      </c>
      <c r="BT1" s="6" t="s">
        <v>151</v>
      </c>
      <c r="BU1" s="6" t="s">
        <v>152</v>
      </c>
      <c r="BV1" s="6" t="s">
        <v>153</v>
      </c>
      <c r="BW1" s="6" t="s">
        <v>154</v>
      </c>
      <c r="BX1" s="6" t="s">
        <v>155</v>
      </c>
      <c r="BY1" s="6" t="s">
        <v>156</v>
      </c>
      <c r="BZ1" s="6" t="s">
        <v>157</v>
      </c>
      <c r="CA1" s="6" t="s">
        <v>158</v>
      </c>
      <c r="CB1" s="6" t="s">
        <v>159</v>
      </c>
      <c r="CC1" s="6" t="s">
        <v>160</v>
      </c>
      <c r="CD1" s="6" t="s">
        <v>161</v>
      </c>
      <c r="CE1" s="6" t="s">
        <v>162</v>
      </c>
      <c r="CF1" s="6" t="s">
        <v>163</v>
      </c>
      <c r="CG1" s="6" t="s">
        <v>164</v>
      </c>
      <c r="CH1" s="6" t="s">
        <v>165</v>
      </c>
      <c r="CI1" s="6" t="s">
        <v>166</v>
      </c>
      <c r="CJ1" s="6" t="s">
        <v>167</v>
      </c>
      <c r="CK1" s="6" t="s">
        <v>168</v>
      </c>
      <c r="CL1" s="6" t="s">
        <v>169</v>
      </c>
      <c r="CM1" s="6" t="s">
        <v>170</v>
      </c>
      <c r="CN1" s="6" t="s">
        <v>171</v>
      </c>
      <c r="CO1" s="6" t="s">
        <v>172</v>
      </c>
      <c r="CP1" s="6" t="s">
        <v>173</v>
      </c>
      <c r="CQ1" s="6" t="s">
        <v>174</v>
      </c>
      <c r="CR1" s="6" t="s">
        <v>175</v>
      </c>
      <c r="CS1" s="6" t="s">
        <v>176</v>
      </c>
      <c r="CT1" s="6" t="s">
        <v>177</v>
      </c>
      <c r="CU1" s="6" t="s">
        <v>178</v>
      </c>
      <c r="CV1" s="6" t="s">
        <v>179</v>
      </c>
      <c r="CW1" s="6" t="s">
        <v>180</v>
      </c>
      <c r="CX1" s="6" t="s">
        <v>181</v>
      </c>
      <c r="CY1" s="6" t="s">
        <v>182</v>
      </c>
      <c r="CZ1" s="6" t="s">
        <v>183</v>
      </c>
      <c r="DA1" s="6" t="s">
        <v>184</v>
      </c>
      <c r="DB1" s="6" t="s">
        <v>185</v>
      </c>
      <c r="DC1" s="6" t="s">
        <v>186</v>
      </c>
      <c r="DD1" s="6" t="s">
        <v>187</v>
      </c>
      <c r="DF1" s="12" t="s">
        <v>204</v>
      </c>
      <c r="DG1"/>
      <c r="DH1"/>
      <c r="DI1"/>
      <c r="DJ1"/>
      <c r="DK1"/>
      <c r="DL1"/>
    </row>
    <row r="2" spans="1:116" x14ac:dyDescent="0.2">
      <c r="A2" s="1" t="s">
        <v>0</v>
      </c>
      <c r="B2">
        <v>1</v>
      </c>
      <c r="C2" s="3">
        <v>5</v>
      </c>
      <c r="D2" s="3">
        <v>0</v>
      </c>
      <c r="E2" s="3">
        <v>4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9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9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F2">
        <v>6.0837830000817901</v>
      </c>
      <c r="DG2" s="1" t="s">
        <v>207</v>
      </c>
    </row>
    <row r="3" spans="1:116" x14ac:dyDescent="0.2">
      <c r="A3" s="1" t="s">
        <v>1</v>
      </c>
      <c r="B3">
        <v>1</v>
      </c>
      <c r="C3" s="3">
        <v>11</v>
      </c>
      <c r="D3" s="3">
        <v>2</v>
      </c>
      <c r="E3" s="3">
        <v>2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9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F3">
        <v>5.9388226675048585</v>
      </c>
      <c r="DG3" s="1" t="s">
        <v>205</v>
      </c>
    </row>
    <row r="4" spans="1:116" x14ac:dyDescent="0.2">
      <c r="A4" s="1" t="s">
        <v>2</v>
      </c>
      <c r="B4">
        <v>1</v>
      </c>
      <c r="C4" s="3">
        <v>0</v>
      </c>
      <c r="D4" s="3">
        <v>0</v>
      </c>
      <c r="E4" s="3">
        <v>0</v>
      </c>
      <c r="F4" s="3">
        <v>0</v>
      </c>
      <c r="G4" s="3">
        <v>3</v>
      </c>
      <c r="H4" s="3">
        <v>4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8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9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F4">
        <v>0.25289265831650498</v>
      </c>
      <c r="DG4" s="1" t="s">
        <v>206</v>
      </c>
    </row>
    <row r="5" spans="1:116" x14ac:dyDescent="0.2">
      <c r="A5" s="1" t="s">
        <v>3</v>
      </c>
      <c r="B5">
        <v>1</v>
      </c>
      <c r="C5" s="3">
        <v>0</v>
      </c>
      <c r="D5" s="3">
        <v>3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5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9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F5">
        <v>5.9374445967877643</v>
      </c>
      <c r="DG5" s="1"/>
    </row>
    <row r="6" spans="1:116" x14ac:dyDescent="0.2">
      <c r="A6" s="1" t="s">
        <v>4</v>
      </c>
      <c r="B6">
        <v>1</v>
      </c>
      <c r="C6" s="3">
        <v>0</v>
      </c>
      <c r="D6" s="3">
        <v>8</v>
      </c>
      <c r="E6" s="3">
        <v>0</v>
      </c>
      <c r="F6" s="3">
        <v>0</v>
      </c>
      <c r="G6" s="3">
        <v>5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9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F6">
        <v>6.1058493875641995</v>
      </c>
    </row>
    <row r="7" spans="1:116" x14ac:dyDescent="0.2">
      <c r="A7" s="1" t="s">
        <v>5</v>
      </c>
      <c r="B7">
        <v>1</v>
      </c>
      <c r="C7" s="3">
        <v>0</v>
      </c>
      <c r="D7" s="3">
        <v>1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6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9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F7">
        <v>5.9974948757766003E-2</v>
      </c>
    </row>
    <row r="8" spans="1:116" x14ac:dyDescent="0.2">
      <c r="A8" s="1" t="s">
        <v>6</v>
      </c>
      <c r="B8">
        <v>2</v>
      </c>
      <c r="C8" s="3">
        <v>2</v>
      </c>
      <c r="D8" s="3">
        <v>1</v>
      </c>
      <c r="E8" s="3">
        <v>19</v>
      </c>
      <c r="F8" s="3">
        <v>0</v>
      </c>
      <c r="G8" s="3">
        <v>2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9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F8">
        <v>6.0908756943919284</v>
      </c>
    </row>
    <row r="9" spans="1:116" x14ac:dyDescent="0.2">
      <c r="A9" s="1" t="s">
        <v>7</v>
      </c>
      <c r="B9">
        <v>2</v>
      </c>
      <c r="C9" s="3">
        <v>1</v>
      </c>
      <c r="D9" s="3">
        <v>0</v>
      </c>
      <c r="E9" s="3">
        <v>5</v>
      </c>
      <c r="F9" s="3">
        <v>10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9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F9">
        <v>5.9392839271775468</v>
      </c>
    </row>
    <row r="10" spans="1:116" x14ac:dyDescent="0.2">
      <c r="A10" s="1" t="s">
        <v>8</v>
      </c>
      <c r="B10">
        <v>2</v>
      </c>
      <c r="C10" s="3">
        <v>0</v>
      </c>
      <c r="D10" s="3">
        <v>0</v>
      </c>
      <c r="E10" s="3">
        <v>1</v>
      </c>
      <c r="F10" s="3">
        <v>0</v>
      </c>
      <c r="G10" s="3">
        <v>3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4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9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F10">
        <v>6.1327308504039948</v>
      </c>
    </row>
    <row r="11" spans="1:116" x14ac:dyDescent="0.2">
      <c r="A11" s="1" t="s">
        <v>9</v>
      </c>
      <c r="B11">
        <v>2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9">
        <v>0</v>
      </c>
      <c r="AN11" s="3">
        <v>0</v>
      </c>
      <c r="AO11" s="3">
        <v>0</v>
      </c>
      <c r="AP11" s="3">
        <v>0</v>
      </c>
      <c r="AQ11" s="3">
        <v>1</v>
      </c>
      <c r="AR11" s="3">
        <v>0</v>
      </c>
      <c r="AS11" s="3">
        <v>0</v>
      </c>
      <c r="AT11" s="3">
        <v>0</v>
      </c>
      <c r="AU11" s="3">
        <v>0</v>
      </c>
      <c r="AV11" s="3">
        <v>2</v>
      </c>
      <c r="AW11" s="3">
        <v>0</v>
      </c>
      <c r="AX11" s="3">
        <v>4</v>
      </c>
      <c r="AY11" s="3">
        <v>0</v>
      </c>
      <c r="AZ11" s="3">
        <v>0</v>
      </c>
      <c r="BA11" s="3">
        <v>3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1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F11">
        <v>5.7352846020184165</v>
      </c>
    </row>
    <row r="12" spans="1:116" x14ac:dyDescent="0.2">
      <c r="A12" s="1" t="s">
        <v>10</v>
      </c>
      <c r="B12">
        <v>2</v>
      </c>
      <c r="C12" s="3">
        <v>0</v>
      </c>
      <c r="D12" s="3">
        <v>0</v>
      </c>
      <c r="E12" s="3">
        <v>0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1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9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3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F12">
        <v>6.1825181633594948</v>
      </c>
    </row>
    <row r="13" spans="1:116" x14ac:dyDescent="0.2">
      <c r="A13" s="1" t="s">
        <v>11</v>
      </c>
      <c r="B13">
        <v>1</v>
      </c>
      <c r="C13" s="3">
        <v>0</v>
      </c>
      <c r="D13" s="3">
        <v>0</v>
      </c>
      <c r="E13" s="3">
        <v>0</v>
      </c>
      <c r="F13" s="3">
        <v>0</v>
      </c>
      <c r="G13" s="3">
        <v>13</v>
      </c>
      <c r="H13" s="3">
        <v>4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9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F13">
        <v>0.24861852373738902</v>
      </c>
    </row>
    <row r="14" spans="1:116" x14ac:dyDescent="0.2">
      <c r="A14" s="1" t="s">
        <v>12</v>
      </c>
      <c r="B14">
        <v>2</v>
      </c>
      <c r="C14" s="3">
        <v>0</v>
      </c>
      <c r="D14" s="3">
        <v>0</v>
      </c>
      <c r="E14" s="3">
        <v>0</v>
      </c>
      <c r="F14" s="3">
        <v>0</v>
      </c>
      <c r="G14" s="3">
        <v>5</v>
      </c>
      <c r="H14" s="3">
        <v>11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9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F14">
        <v>0.52661806335209105</v>
      </c>
    </row>
    <row r="15" spans="1:116" x14ac:dyDescent="0.2">
      <c r="A15" s="1" t="s">
        <v>13</v>
      </c>
      <c r="B15">
        <v>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3</v>
      </c>
      <c r="I15" s="3">
        <v>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9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9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F15">
        <v>0.98378035082565007</v>
      </c>
    </row>
    <row r="16" spans="1:116" x14ac:dyDescent="0.2">
      <c r="A16" s="1" t="s">
        <v>14</v>
      </c>
      <c r="B16">
        <v>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7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9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F16">
        <v>0.53084590472575499</v>
      </c>
    </row>
    <row r="17" spans="1:110" x14ac:dyDescent="0.2">
      <c r="A17" s="1" t="s">
        <v>15</v>
      </c>
      <c r="B17">
        <v>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5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9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F17">
        <v>0.76995952703206505</v>
      </c>
    </row>
    <row r="18" spans="1:110" x14ac:dyDescent="0.2">
      <c r="A18" s="1" t="s">
        <v>16</v>
      </c>
      <c r="B18">
        <v>1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1</v>
      </c>
      <c r="J18" s="3">
        <v>0</v>
      </c>
      <c r="K18" s="3">
        <v>0</v>
      </c>
      <c r="L18" s="3">
        <v>7</v>
      </c>
      <c r="M18" s="3">
        <v>0</v>
      </c>
      <c r="N18" s="3">
        <v>0</v>
      </c>
      <c r="O18" s="3">
        <v>0</v>
      </c>
      <c r="P18" s="3">
        <v>0</v>
      </c>
      <c r="Q18" s="3">
        <v>3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2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9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F18">
        <v>1.0471738448283898</v>
      </c>
    </row>
    <row r="19" spans="1:110" x14ac:dyDescent="0.2">
      <c r="A19" s="1" t="s">
        <v>17</v>
      </c>
      <c r="B19">
        <v>3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2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9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F19">
        <v>5.5639803860343502</v>
      </c>
    </row>
    <row r="20" spans="1:110" x14ac:dyDescent="0.2">
      <c r="A20" s="1" t="s">
        <v>18</v>
      </c>
      <c r="B20">
        <v>2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8</v>
      </c>
      <c r="K20" s="3">
        <v>0</v>
      </c>
      <c r="L20" s="3">
        <v>1</v>
      </c>
      <c r="M20" s="3">
        <v>0</v>
      </c>
      <c r="N20" s="3">
        <v>5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9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F20">
        <v>1.6387744743265098</v>
      </c>
    </row>
    <row r="21" spans="1:110" x14ac:dyDescent="0.2">
      <c r="A21" s="1" t="s">
        <v>19</v>
      </c>
      <c r="B21">
        <v>2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2</v>
      </c>
      <c r="J21" s="3">
        <v>6</v>
      </c>
      <c r="K21" s="3">
        <v>0</v>
      </c>
      <c r="L21" s="3">
        <v>5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1</v>
      </c>
      <c r="Y21" s="3">
        <v>0</v>
      </c>
      <c r="Z21" s="3">
        <v>0</v>
      </c>
      <c r="AA21" s="3">
        <v>0</v>
      </c>
      <c r="AB21" s="3">
        <v>1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9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F21">
        <v>1.1153582544085698</v>
      </c>
    </row>
    <row r="22" spans="1:110" x14ac:dyDescent="0.2">
      <c r="A22" s="1" t="s">
        <v>20</v>
      </c>
      <c r="B22">
        <v>3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2</v>
      </c>
      <c r="AD22" s="3">
        <v>3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9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F22">
        <v>1.0819114558276199</v>
      </c>
    </row>
    <row r="23" spans="1:110" x14ac:dyDescent="0.2">
      <c r="A23" s="1" t="s">
        <v>21</v>
      </c>
      <c r="B23">
        <v>1</v>
      </c>
      <c r="C23" s="3">
        <v>0</v>
      </c>
      <c r="D23" s="3">
        <v>0</v>
      </c>
      <c r="E23" s="3">
        <v>2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7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3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9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F23">
        <v>6.0866999404847588</v>
      </c>
    </row>
    <row r="24" spans="1:110" x14ac:dyDescent="0.2">
      <c r="A24" s="1" t="s">
        <v>22</v>
      </c>
      <c r="B24">
        <v>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4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2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9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1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F24">
        <v>4.0175038012080169</v>
      </c>
    </row>
    <row r="25" spans="1:110" x14ac:dyDescent="0.2">
      <c r="A25" s="1" t="s">
        <v>23</v>
      </c>
      <c r="B25">
        <v>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2</v>
      </c>
      <c r="N25" s="3">
        <v>0</v>
      </c>
      <c r="O25" s="3">
        <v>0</v>
      </c>
      <c r="P25" s="3">
        <v>0</v>
      </c>
      <c r="Q25" s="3">
        <v>0</v>
      </c>
      <c r="R25" s="3">
        <v>6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9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F25">
        <v>4.0359283212540964</v>
      </c>
    </row>
    <row r="26" spans="1:110" x14ac:dyDescent="0.2">
      <c r="A26" s="1" t="s">
        <v>24</v>
      </c>
      <c r="B26">
        <v>1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12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1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9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F26">
        <v>4.2184890645081365</v>
      </c>
    </row>
    <row r="27" spans="1:110" x14ac:dyDescent="0.2">
      <c r="A27" s="1" t="s">
        <v>25</v>
      </c>
      <c r="B27">
        <v>1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1</v>
      </c>
      <c r="M27" s="3">
        <v>0</v>
      </c>
      <c r="N27" s="3">
        <v>6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5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9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F27">
        <v>1.38880380603119</v>
      </c>
    </row>
    <row r="28" spans="1:110" x14ac:dyDescent="0.2">
      <c r="A28" s="1" t="s">
        <v>26</v>
      </c>
      <c r="B28">
        <v>1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3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9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4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F28">
        <v>4.2249895138169666</v>
      </c>
    </row>
    <row r="29" spans="1:110" x14ac:dyDescent="0.2">
      <c r="A29" s="1" t="s">
        <v>27</v>
      </c>
      <c r="B29">
        <v>2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</v>
      </c>
      <c r="N29" s="3">
        <v>0</v>
      </c>
      <c r="O29" s="3">
        <v>0</v>
      </c>
      <c r="P29" s="3">
        <v>0</v>
      </c>
      <c r="Q29" s="3">
        <v>0</v>
      </c>
      <c r="R29" s="3">
        <v>2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2</v>
      </c>
      <c r="AG29" s="3">
        <v>0</v>
      </c>
      <c r="AH29" s="3">
        <v>2</v>
      </c>
      <c r="AI29" s="3">
        <v>0</v>
      </c>
      <c r="AJ29" s="3">
        <v>0</v>
      </c>
      <c r="AK29" s="3">
        <v>0</v>
      </c>
      <c r="AL29" s="3">
        <v>0</v>
      </c>
      <c r="AM29" s="9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F29">
        <v>4.1880711807409563</v>
      </c>
    </row>
    <row r="30" spans="1:110" x14ac:dyDescent="0.2">
      <c r="A30" s="1" t="s">
        <v>28</v>
      </c>
      <c r="B30">
        <v>1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6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2</v>
      </c>
      <c r="AH30" s="3">
        <v>0</v>
      </c>
      <c r="AI30" s="3">
        <v>5</v>
      </c>
      <c r="AJ30" s="3">
        <v>0</v>
      </c>
      <c r="AK30" s="3">
        <v>0</v>
      </c>
      <c r="AL30" s="3">
        <v>0</v>
      </c>
      <c r="AM30" s="9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F30">
        <v>1.8104367182977099</v>
      </c>
    </row>
    <row r="31" spans="1:110" x14ac:dyDescent="0.2">
      <c r="A31" s="1" t="s">
        <v>29</v>
      </c>
      <c r="B31">
        <v>1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1</v>
      </c>
      <c r="AK31" s="3">
        <v>0</v>
      </c>
      <c r="AL31" s="3">
        <v>0</v>
      </c>
      <c r="AM31" s="9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F31">
        <v>3.2080185807648864</v>
      </c>
    </row>
    <row r="32" spans="1:110" x14ac:dyDescent="0.2">
      <c r="A32" s="1" t="s">
        <v>30</v>
      </c>
      <c r="B32">
        <v>1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7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9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1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F32">
        <v>2.9674690643125601</v>
      </c>
    </row>
    <row r="33" spans="1:110" x14ac:dyDescent="0.2">
      <c r="A33" s="1" t="s">
        <v>31</v>
      </c>
      <c r="B33">
        <v>3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4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9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1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2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F33">
        <v>3.0232909917227202</v>
      </c>
    </row>
    <row r="34" spans="1:110" x14ac:dyDescent="0.2">
      <c r="A34" s="1" t="s">
        <v>32</v>
      </c>
      <c r="B34">
        <v>1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6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4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2</v>
      </c>
      <c r="AL34" s="3">
        <v>0</v>
      </c>
      <c r="AM34" s="9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1</v>
      </c>
      <c r="DF34">
        <v>0.841907948548968</v>
      </c>
    </row>
    <row r="35" spans="1:110" x14ac:dyDescent="0.2">
      <c r="A35" s="1" t="s">
        <v>33</v>
      </c>
      <c r="B35">
        <v>1</v>
      </c>
      <c r="C35" s="3">
        <v>0</v>
      </c>
      <c r="D35" s="3">
        <v>0</v>
      </c>
      <c r="E35" s="3">
        <v>0</v>
      </c>
      <c r="F35" s="3">
        <v>0</v>
      </c>
      <c r="G35" s="3">
        <v>1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1</v>
      </c>
      <c r="P35" s="3">
        <v>0</v>
      </c>
      <c r="Q35" s="3">
        <v>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7</v>
      </c>
      <c r="AL35" s="3">
        <v>0</v>
      </c>
      <c r="AM35" s="9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F35">
        <v>0.62658320230212605</v>
      </c>
    </row>
    <row r="36" spans="1:110" x14ac:dyDescent="0.2">
      <c r="A36" s="1" t="s">
        <v>34</v>
      </c>
      <c r="B36">
        <v>2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9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5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2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6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F36">
        <v>5.8183829066020865</v>
      </c>
    </row>
    <row r="37" spans="1:110" x14ac:dyDescent="0.2">
      <c r="A37" s="1" t="s">
        <v>35</v>
      </c>
      <c r="B37">
        <v>1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7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9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F37">
        <v>4.2501240251584367</v>
      </c>
    </row>
    <row r="38" spans="1:110" x14ac:dyDescent="0.2">
      <c r="A38" s="1" t="s">
        <v>36</v>
      </c>
      <c r="B38">
        <v>2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3</v>
      </c>
      <c r="AM38" s="9">
        <v>0</v>
      </c>
      <c r="AN38" s="3">
        <v>2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F38">
        <v>5.1430589151237562</v>
      </c>
    </row>
    <row r="39" spans="1:110" x14ac:dyDescent="0.2">
      <c r="A39" s="1" t="s">
        <v>37</v>
      </c>
      <c r="B39">
        <v>3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9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F39">
        <v>5.0602561544914266</v>
      </c>
    </row>
    <row r="40" spans="1:110" x14ac:dyDescent="0.2">
      <c r="A40" s="1" t="s">
        <v>38</v>
      </c>
      <c r="B40">
        <v>2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1</v>
      </c>
      <c r="AM40" s="9">
        <v>1</v>
      </c>
      <c r="AN40" s="3">
        <v>4</v>
      </c>
      <c r="AO40" s="3">
        <v>3</v>
      </c>
      <c r="AP40" s="3">
        <v>1</v>
      </c>
      <c r="AQ40" s="3">
        <v>1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3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F40">
        <v>5.4096139874633238</v>
      </c>
    </row>
    <row r="41" spans="1:110" x14ac:dyDescent="0.2">
      <c r="A41" s="1" t="s">
        <v>39</v>
      </c>
      <c r="B41">
        <v>2</v>
      </c>
      <c r="C41" s="3">
        <v>0</v>
      </c>
      <c r="D41" s="3">
        <v>0</v>
      </c>
      <c r="E41" s="3">
        <v>0</v>
      </c>
      <c r="F41" s="3">
        <v>1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3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9">
        <v>0</v>
      </c>
      <c r="AN41" s="3">
        <v>0</v>
      </c>
      <c r="AO41" s="3">
        <v>0</v>
      </c>
      <c r="AP41" s="3">
        <v>0</v>
      </c>
      <c r="AQ41" s="3">
        <v>0</v>
      </c>
      <c r="AR41" s="3">
        <v>2</v>
      </c>
      <c r="AS41" s="3">
        <v>3</v>
      </c>
      <c r="AT41" s="3">
        <v>2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F41">
        <v>5.5886391911434385</v>
      </c>
    </row>
    <row r="42" spans="1:110" x14ac:dyDescent="0.2">
      <c r="A42" s="1" t="s">
        <v>40</v>
      </c>
      <c r="B42">
        <v>2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1</v>
      </c>
      <c r="AM42" s="9">
        <v>0</v>
      </c>
      <c r="AN42" s="3">
        <v>2</v>
      </c>
      <c r="AO42" s="3">
        <v>0</v>
      </c>
      <c r="AP42" s="3">
        <v>3</v>
      </c>
      <c r="AQ42" s="3">
        <v>0</v>
      </c>
      <c r="AR42" s="3">
        <v>0</v>
      </c>
      <c r="AS42" s="3">
        <v>0</v>
      </c>
      <c r="AT42" s="3">
        <v>0</v>
      </c>
      <c r="AU42" s="3">
        <v>2</v>
      </c>
      <c r="AV42" s="3">
        <v>2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F42">
        <v>5.5569755808497954</v>
      </c>
    </row>
    <row r="43" spans="1:110" x14ac:dyDescent="0.2">
      <c r="A43" s="1" t="s">
        <v>41</v>
      </c>
      <c r="B43">
        <v>2</v>
      </c>
      <c r="C43" s="3">
        <v>0</v>
      </c>
      <c r="D43" s="3">
        <v>0</v>
      </c>
      <c r="E43" s="3">
        <v>0</v>
      </c>
      <c r="F43" s="3">
        <v>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9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8</v>
      </c>
      <c r="AU43" s="3">
        <v>0</v>
      </c>
      <c r="AV43" s="3">
        <v>0</v>
      </c>
      <c r="AW43" s="3">
        <v>1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F43">
        <v>5.7776934371906092</v>
      </c>
    </row>
    <row r="44" spans="1:110" x14ac:dyDescent="0.2">
      <c r="A44" s="1" t="s">
        <v>42</v>
      </c>
      <c r="B44">
        <v>2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9">
        <v>0</v>
      </c>
      <c r="AN44" s="3">
        <v>0</v>
      </c>
      <c r="AO44" s="3">
        <v>0</v>
      </c>
      <c r="AP44" s="3">
        <v>7</v>
      </c>
      <c r="AQ44" s="3">
        <v>1</v>
      </c>
      <c r="AR44" s="3">
        <v>0</v>
      </c>
      <c r="AS44" s="3">
        <v>0</v>
      </c>
      <c r="AT44" s="3">
        <v>0</v>
      </c>
      <c r="AU44" s="3">
        <v>0</v>
      </c>
      <c r="AV44" s="3">
        <v>3</v>
      </c>
      <c r="AW44" s="3">
        <v>0</v>
      </c>
      <c r="AX44" s="3">
        <v>1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F44">
        <v>5.223281575768576</v>
      </c>
    </row>
    <row r="45" spans="1:110" x14ac:dyDescent="0.2">
      <c r="A45" s="1" t="s">
        <v>43</v>
      </c>
      <c r="B45">
        <v>3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9">
        <v>0</v>
      </c>
      <c r="AN45" s="3">
        <v>0</v>
      </c>
      <c r="AO45" s="3">
        <v>2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2</v>
      </c>
      <c r="AZ45" s="3">
        <v>2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2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F45">
        <v>5.5056400604738602</v>
      </c>
    </row>
    <row r="46" spans="1:110" x14ac:dyDescent="0.2">
      <c r="A46" s="1" t="s">
        <v>44</v>
      </c>
      <c r="B46">
        <v>2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9">
        <v>0</v>
      </c>
      <c r="AN46" s="3">
        <v>0</v>
      </c>
      <c r="AO46" s="3">
        <v>0</v>
      </c>
      <c r="AP46" s="3">
        <v>1</v>
      </c>
      <c r="AQ46" s="3">
        <v>0</v>
      </c>
      <c r="AR46" s="3">
        <v>0</v>
      </c>
      <c r="AS46" s="3">
        <v>0</v>
      </c>
      <c r="AT46" s="3">
        <v>0</v>
      </c>
      <c r="AU46" s="3">
        <v>2</v>
      </c>
      <c r="AV46" s="3">
        <v>5</v>
      </c>
      <c r="AW46" s="3">
        <v>1</v>
      </c>
      <c r="AX46" s="3">
        <v>0</v>
      </c>
      <c r="AY46" s="3">
        <v>0</v>
      </c>
      <c r="AZ46" s="3">
        <v>0</v>
      </c>
      <c r="BA46" s="3">
        <v>1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F46">
        <v>5.8760107334724001</v>
      </c>
    </row>
    <row r="47" spans="1:110" x14ac:dyDescent="0.2">
      <c r="A47" s="1" t="s">
        <v>45</v>
      </c>
      <c r="B47">
        <v>2</v>
      </c>
      <c r="C47" s="3">
        <v>1</v>
      </c>
      <c r="D47" s="3">
        <v>0</v>
      </c>
      <c r="E47" s="3">
        <v>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3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9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2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F47">
        <v>5.5986761708501573</v>
      </c>
    </row>
    <row r="48" spans="1:110" x14ac:dyDescent="0.2">
      <c r="A48" s="1" t="s">
        <v>46</v>
      </c>
      <c r="B48">
        <v>1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9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3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4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F48">
        <v>2.4917247070245403</v>
      </c>
    </row>
    <row r="49" spans="1:110" x14ac:dyDescent="0.2">
      <c r="A49" s="1" t="s">
        <v>47</v>
      </c>
      <c r="B49">
        <v>2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9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1</v>
      </c>
      <c r="AV49" s="3">
        <v>0</v>
      </c>
      <c r="AW49" s="3">
        <v>9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3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F49">
        <v>5.9391630105478068</v>
      </c>
    </row>
    <row r="50" spans="1:110" x14ac:dyDescent="0.2">
      <c r="A50" s="1" t="s">
        <v>48</v>
      </c>
      <c r="B50">
        <v>2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9">
        <v>0</v>
      </c>
      <c r="AN50" s="3">
        <v>0</v>
      </c>
      <c r="AO50" s="3">
        <v>1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2</v>
      </c>
      <c r="BA50" s="3">
        <v>0</v>
      </c>
      <c r="BB50" s="3">
        <v>0</v>
      </c>
      <c r="BC50" s="3">
        <v>0</v>
      </c>
      <c r="BD50" s="3">
        <v>0</v>
      </c>
      <c r="BE50" s="3">
        <v>3</v>
      </c>
      <c r="BF50" s="3">
        <v>1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2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F50">
        <v>5.4685862518516917</v>
      </c>
    </row>
    <row r="51" spans="1:110" x14ac:dyDescent="0.2">
      <c r="A51" s="1" t="s">
        <v>49</v>
      </c>
      <c r="B51">
        <v>2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9">
        <v>0</v>
      </c>
      <c r="AN51" s="3">
        <v>0</v>
      </c>
      <c r="AO51" s="3">
        <v>0</v>
      </c>
      <c r="AP51" s="3">
        <v>1</v>
      </c>
      <c r="AQ51" s="3">
        <v>2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2</v>
      </c>
      <c r="AY51" s="3">
        <v>0</v>
      </c>
      <c r="AZ51" s="3">
        <v>0</v>
      </c>
      <c r="BA51" s="3">
        <v>3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3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F51">
        <v>5.494208165556147</v>
      </c>
    </row>
    <row r="52" spans="1:110" x14ac:dyDescent="0.2">
      <c r="A52" s="1" t="s">
        <v>50</v>
      </c>
      <c r="B52">
        <v>2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9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2</v>
      </c>
      <c r="AV52" s="3">
        <v>0</v>
      </c>
      <c r="AW52" s="3">
        <v>0</v>
      </c>
      <c r="AX52" s="3">
        <v>4</v>
      </c>
      <c r="AY52" s="3">
        <v>0</v>
      </c>
      <c r="AZ52" s="3">
        <v>0</v>
      </c>
      <c r="BA52" s="3">
        <v>3</v>
      </c>
      <c r="BB52" s="3">
        <v>0</v>
      </c>
      <c r="BC52" s="3">
        <v>0</v>
      </c>
      <c r="BD52" s="3">
        <v>2</v>
      </c>
      <c r="BE52" s="3">
        <v>0</v>
      </c>
      <c r="BF52" s="3">
        <v>0</v>
      </c>
      <c r="BG52" s="3">
        <v>1</v>
      </c>
      <c r="BH52" s="3">
        <v>1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F52">
        <v>5.6821136007110891</v>
      </c>
    </row>
    <row r="53" spans="1:110" x14ac:dyDescent="0.2">
      <c r="A53" s="1" t="s">
        <v>51</v>
      </c>
      <c r="B53">
        <v>2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9">
        <v>0</v>
      </c>
      <c r="AN53" s="3">
        <v>0</v>
      </c>
      <c r="AO53" s="3">
        <v>0</v>
      </c>
      <c r="AP53" s="3">
        <v>0</v>
      </c>
      <c r="AQ53" s="3">
        <v>1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1</v>
      </c>
      <c r="AY53" s="3">
        <v>0</v>
      </c>
      <c r="AZ53" s="3">
        <v>0</v>
      </c>
      <c r="BA53" s="3">
        <v>2</v>
      </c>
      <c r="BB53" s="3">
        <v>0</v>
      </c>
      <c r="BC53" s="3">
        <v>0</v>
      </c>
      <c r="BD53" s="3">
        <v>0</v>
      </c>
      <c r="BE53" s="3">
        <v>1</v>
      </c>
      <c r="BF53" s="3">
        <v>1</v>
      </c>
      <c r="BG53" s="3">
        <v>3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F53">
        <v>5.7549075763803961</v>
      </c>
    </row>
    <row r="54" spans="1:110" x14ac:dyDescent="0.2">
      <c r="A54" s="1" t="s">
        <v>52</v>
      </c>
      <c r="B54">
        <v>2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9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8</v>
      </c>
      <c r="BJ54" s="3">
        <v>6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F54">
        <v>5.9675269605915444</v>
      </c>
    </row>
    <row r="55" spans="1:110" x14ac:dyDescent="0.2">
      <c r="A55" s="1" t="s">
        <v>53</v>
      </c>
      <c r="B55">
        <v>2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9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8</v>
      </c>
      <c r="BI55" s="3">
        <v>0</v>
      </c>
      <c r="BJ55" s="3">
        <v>1</v>
      </c>
      <c r="BK55" s="3">
        <v>1</v>
      </c>
      <c r="BL55" s="3">
        <v>2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F55">
        <v>0.124128612783272</v>
      </c>
    </row>
    <row r="56" spans="1:110" x14ac:dyDescent="0.2">
      <c r="A56" s="1" t="s">
        <v>54</v>
      </c>
      <c r="B56">
        <v>2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9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3</v>
      </c>
      <c r="BG56" s="3">
        <v>0</v>
      </c>
      <c r="BH56" s="3">
        <v>0</v>
      </c>
      <c r="BI56" s="3">
        <v>0</v>
      </c>
      <c r="BJ56" s="3">
        <v>0</v>
      </c>
      <c r="BK56" s="3">
        <v>1</v>
      </c>
      <c r="BL56" s="3">
        <v>0</v>
      </c>
      <c r="BM56" s="3">
        <v>6</v>
      </c>
      <c r="BN56" s="3">
        <v>0</v>
      </c>
      <c r="BO56" s="3">
        <v>0</v>
      </c>
      <c r="BP56" s="3">
        <v>0</v>
      </c>
      <c r="BQ56" s="3">
        <v>0</v>
      </c>
      <c r="BR56" s="3">
        <v>1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F56">
        <v>5.8309873600611564</v>
      </c>
    </row>
    <row r="57" spans="1:110" x14ac:dyDescent="0.2">
      <c r="A57" s="1" t="s">
        <v>55</v>
      </c>
      <c r="B57">
        <v>2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9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8</v>
      </c>
      <c r="BO57" s="3">
        <v>1</v>
      </c>
      <c r="BP57" s="3">
        <v>1</v>
      </c>
      <c r="BQ57" s="3">
        <v>1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F57">
        <v>6.5414096510230113E-4</v>
      </c>
    </row>
    <row r="58" spans="1:110" x14ac:dyDescent="0.2">
      <c r="A58" s="1" t="s">
        <v>56</v>
      </c>
      <c r="B58">
        <v>2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9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1</v>
      </c>
      <c r="BL58" s="3">
        <v>0</v>
      </c>
      <c r="BM58" s="3">
        <v>0</v>
      </c>
      <c r="BN58" s="3">
        <v>0</v>
      </c>
      <c r="BO58" s="3">
        <v>5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3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F58">
        <v>8.3434544847472009E-2</v>
      </c>
    </row>
    <row r="59" spans="1:110" x14ac:dyDescent="0.2">
      <c r="A59" s="1" t="s">
        <v>57</v>
      </c>
      <c r="B59">
        <v>3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9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1</v>
      </c>
      <c r="BM59" s="3">
        <v>1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2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F59">
        <v>4.6524898249382038E-3</v>
      </c>
    </row>
    <row r="60" spans="1:110" x14ac:dyDescent="0.2">
      <c r="A60" s="1" t="s">
        <v>58</v>
      </c>
      <c r="B60">
        <v>3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9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4</v>
      </c>
      <c r="BL60" s="3">
        <v>1</v>
      </c>
      <c r="BM60" s="3">
        <v>0</v>
      </c>
      <c r="BN60" s="3">
        <v>0</v>
      </c>
      <c r="BO60" s="3">
        <v>1</v>
      </c>
      <c r="BP60" s="3">
        <v>0</v>
      </c>
      <c r="BQ60" s="3">
        <v>0</v>
      </c>
      <c r="BR60" s="3">
        <v>6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F60">
        <v>0.59985522377955902</v>
      </c>
    </row>
    <row r="61" spans="1:110" x14ac:dyDescent="0.2">
      <c r="A61" s="1" t="s">
        <v>59</v>
      </c>
      <c r="B61">
        <v>2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9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7</v>
      </c>
      <c r="BQ61" s="3">
        <v>8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1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F61">
        <v>0.24725125084411498</v>
      </c>
    </row>
    <row r="62" spans="1:110" x14ac:dyDescent="0.2">
      <c r="A62" s="1" t="s">
        <v>60</v>
      </c>
      <c r="B62">
        <v>2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9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5</v>
      </c>
      <c r="BT62" s="3">
        <v>0</v>
      </c>
      <c r="BU62" s="3">
        <v>0</v>
      </c>
      <c r="BV62" s="3">
        <v>1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2</v>
      </c>
      <c r="CW62" s="3">
        <v>7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F62">
        <v>0.66849022095446897</v>
      </c>
    </row>
    <row r="63" spans="1:110" x14ac:dyDescent="0.2">
      <c r="A63" s="1" t="s">
        <v>61</v>
      </c>
      <c r="B63">
        <v>3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9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1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1</v>
      </c>
      <c r="DA63" s="3">
        <v>1</v>
      </c>
      <c r="DB63" s="3">
        <v>0</v>
      </c>
      <c r="DC63" s="3">
        <v>0</v>
      </c>
      <c r="DD63" s="3">
        <v>0</v>
      </c>
      <c r="DF63">
        <v>0.45649822216741998</v>
      </c>
    </row>
    <row r="64" spans="1:110" x14ac:dyDescent="0.2">
      <c r="A64" s="1" t="s">
        <v>62</v>
      </c>
      <c r="B64">
        <v>2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1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9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1</v>
      </c>
      <c r="BQ64" s="3">
        <v>2</v>
      </c>
      <c r="BR64" s="3">
        <v>0</v>
      </c>
      <c r="BS64" s="3">
        <v>3</v>
      </c>
      <c r="BT64" s="3">
        <v>0</v>
      </c>
      <c r="BU64" s="3">
        <v>2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1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F64">
        <v>0.21086823634563401</v>
      </c>
    </row>
    <row r="65" spans="1:110" x14ac:dyDescent="0.2">
      <c r="A65" s="1" t="s">
        <v>63</v>
      </c>
      <c r="B65">
        <v>2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9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1</v>
      </c>
      <c r="BT65" s="3">
        <v>0</v>
      </c>
      <c r="BU65" s="3">
        <v>0</v>
      </c>
      <c r="BV65" s="3">
        <v>5</v>
      </c>
      <c r="BW65" s="3">
        <v>3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F65">
        <v>0.23512644188368498</v>
      </c>
    </row>
    <row r="66" spans="1:110" x14ac:dyDescent="0.2">
      <c r="A66" s="1" t="s">
        <v>64</v>
      </c>
      <c r="B66">
        <v>3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9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3</v>
      </c>
      <c r="BY66" s="3">
        <v>5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2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1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F66">
        <v>0.76888698678143297</v>
      </c>
    </row>
    <row r="67" spans="1:110" x14ac:dyDescent="0.2">
      <c r="A67" s="1" t="s">
        <v>65</v>
      </c>
      <c r="B67">
        <v>2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8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9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1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5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F67">
        <v>0.412472904198182</v>
      </c>
    </row>
    <row r="68" spans="1:110" x14ac:dyDescent="0.2">
      <c r="A68" s="1" t="s">
        <v>66</v>
      </c>
      <c r="B68">
        <v>2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9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1</v>
      </c>
      <c r="BT68" s="3">
        <v>0</v>
      </c>
      <c r="BU68" s="3">
        <v>3</v>
      </c>
      <c r="BV68" s="3">
        <v>0</v>
      </c>
      <c r="BW68" s="3">
        <v>2</v>
      </c>
      <c r="BX68" s="3">
        <v>0</v>
      </c>
      <c r="BY68" s="3">
        <v>0</v>
      </c>
      <c r="BZ68" s="3">
        <v>0</v>
      </c>
      <c r="CA68" s="3">
        <v>5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F68">
        <v>1.1822310074760098</v>
      </c>
    </row>
    <row r="69" spans="1:110" x14ac:dyDescent="0.2">
      <c r="A69" s="1" t="s">
        <v>67</v>
      </c>
      <c r="B69">
        <v>2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9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4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6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F69">
        <v>0.87848369660064596</v>
      </c>
    </row>
    <row r="70" spans="1:110" x14ac:dyDescent="0.2">
      <c r="A70" s="1" t="s">
        <v>68</v>
      </c>
      <c r="B70">
        <v>2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9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2</v>
      </c>
      <c r="BR70" s="3">
        <v>0</v>
      </c>
      <c r="BS70" s="3">
        <v>0</v>
      </c>
      <c r="BT70" s="3">
        <v>0</v>
      </c>
      <c r="BU70" s="3">
        <v>6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1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F70">
        <v>0.56796048422394696</v>
      </c>
    </row>
    <row r="71" spans="1:110" x14ac:dyDescent="0.2">
      <c r="A71" s="1" t="s">
        <v>69</v>
      </c>
      <c r="B71">
        <v>2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2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9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2</v>
      </c>
      <c r="BX71" s="3">
        <v>0</v>
      </c>
      <c r="BY71" s="3">
        <v>0</v>
      </c>
      <c r="BZ71" s="3">
        <v>0</v>
      </c>
      <c r="CA71" s="3">
        <v>1</v>
      </c>
      <c r="CB71" s="3">
        <v>0</v>
      </c>
      <c r="CC71" s="3">
        <v>4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1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F71">
        <v>0.9970163603113199</v>
      </c>
    </row>
    <row r="72" spans="1:110" x14ac:dyDescent="0.2">
      <c r="A72" s="1" t="s">
        <v>70</v>
      </c>
      <c r="B72">
        <v>2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1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1</v>
      </c>
      <c r="AL72" s="3">
        <v>0</v>
      </c>
      <c r="AM72" s="9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4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F72">
        <v>0.52511541847950505</v>
      </c>
    </row>
    <row r="73" spans="1:110" x14ac:dyDescent="0.2">
      <c r="A73" s="1" t="s">
        <v>71</v>
      </c>
      <c r="B73">
        <v>2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9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3</v>
      </c>
      <c r="CC73" s="3">
        <v>2</v>
      </c>
      <c r="CD73" s="3">
        <v>0</v>
      </c>
      <c r="CE73" s="3">
        <v>3</v>
      </c>
      <c r="CF73" s="3">
        <v>0</v>
      </c>
      <c r="CG73" s="3">
        <v>1</v>
      </c>
      <c r="CH73" s="3">
        <v>0</v>
      </c>
      <c r="CI73" s="3">
        <v>0</v>
      </c>
      <c r="CJ73" s="3">
        <v>0</v>
      </c>
      <c r="CK73" s="3">
        <v>0</v>
      </c>
      <c r="CL73" s="3">
        <v>2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F73">
        <v>0.64238559342910895</v>
      </c>
    </row>
    <row r="74" spans="1:110" x14ac:dyDescent="0.2">
      <c r="A74" s="1" t="s">
        <v>72</v>
      </c>
      <c r="B74">
        <v>3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9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3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1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4</v>
      </c>
      <c r="DC74" s="3">
        <v>0</v>
      </c>
      <c r="DD74" s="3">
        <v>0</v>
      </c>
      <c r="DF74">
        <v>1.5250010599917898</v>
      </c>
    </row>
    <row r="75" spans="1:110" x14ac:dyDescent="0.2">
      <c r="A75" s="1" t="s">
        <v>73</v>
      </c>
      <c r="B75">
        <v>2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2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9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1</v>
      </c>
      <c r="CC75" s="3">
        <v>1</v>
      </c>
      <c r="CD75" s="3">
        <v>0</v>
      </c>
      <c r="CE75" s="3">
        <v>0</v>
      </c>
      <c r="CF75" s="3">
        <v>0</v>
      </c>
      <c r="CG75" s="3">
        <v>1</v>
      </c>
      <c r="CH75" s="3">
        <v>0</v>
      </c>
      <c r="CI75" s="3">
        <v>0</v>
      </c>
      <c r="CJ75" s="3">
        <v>0</v>
      </c>
      <c r="CK75" s="3">
        <v>0</v>
      </c>
      <c r="CL75" s="3">
        <v>2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F75">
        <v>0.90031326590774896</v>
      </c>
    </row>
    <row r="76" spans="1:110" x14ac:dyDescent="0.2">
      <c r="A76" s="1" t="s">
        <v>74</v>
      </c>
      <c r="B76">
        <v>2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2</v>
      </c>
      <c r="Z76" s="3">
        <v>0</v>
      </c>
      <c r="AA76" s="3">
        <v>0</v>
      </c>
      <c r="AB76" s="3">
        <v>4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9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3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2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F76">
        <v>0.88419694960109996</v>
      </c>
    </row>
    <row r="77" spans="1:110" x14ac:dyDescent="0.2">
      <c r="A77" s="1" t="s">
        <v>75</v>
      </c>
      <c r="B77">
        <v>2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2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9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1</v>
      </c>
      <c r="CC77" s="3">
        <v>0</v>
      </c>
      <c r="CD77" s="3">
        <v>0</v>
      </c>
      <c r="CE77" s="3">
        <v>0</v>
      </c>
      <c r="CF77" s="3">
        <v>3</v>
      </c>
      <c r="CG77" s="3">
        <v>3</v>
      </c>
      <c r="CH77" s="3">
        <v>1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F77">
        <v>1.1608303512589901</v>
      </c>
    </row>
    <row r="78" spans="1:110" x14ac:dyDescent="0.2">
      <c r="A78" s="1" t="s">
        <v>76</v>
      </c>
      <c r="B78">
        <v>2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9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2</v>
      </c>
      <c r="CF78" s="3">
        <v>1</v>
      </c>
      <c r="CG78" s="3">
        <v>1</v>
      </c>
      <c r="CH78" s="3">
        <v>1</v>
      </c>
      <c r="CI78" s="3">
        <v>2</v>
      </c>
      <c r="CJ78" s="3">
        <v>2</v>
      </c>
      <c r="CK78" s="3">
        <v>0</v>
      </c>
      <c r="CL78" s="3">
        <v>1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F78">
        <v>0.845528230701309</v>
      </c>
    </row>
    <row r="79" spans="1:110" x14ac:dyDescent="0.2">
      <c r="A79" s="1" t="s">
        <v>77</v>
      </c>
      <c r="B79">
        <v>2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6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3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9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F79">
        <v>1.3602162094000501</v>
      </c>
    </row>
    <row r="80" spans="1:110" x14ac:dyDescent="0.2">
      <c r="A80" s="1" t="s">
        <v>78</v>
      </c>
      <c r="B80">
        <v>2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4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9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1</v>
      </c>
      <c r="CG80" s="3">
        <v>2</v>
      </c>
      <c r="CH80" s="3">
        <v>3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F80">
        <v>1.2025815669083202</v>
      </c>
    </row>
    <row r="81" spans="1:116" x14ac:dyDescent="0.2">
      <c r="A81" s="1" t="s">
        <v>79</v>
      </c>
      <c r="B81">
        <v>3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4</v>
      </c>
      <c r="AK81" s="3">
        <v>0</v>
      </c>
      <c r="AL81" s="3">
        <v>0</v>
      </c>
      <c r="AM81" s="9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F81">
        <v>4.6000703487045467</v>
      </c>
    </row>
    <row r="82" spans="1:116" x14ac:dyDescent="0.2">
      <c r="A82" s="1" t="s">
        <v>80</v>
      </c>
      <c r="B82">
        <v>2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9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4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2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F82">
        <v>1.3542232114923398</v>
      </c>
    </row>
    <row r="83" spans="1:116" x14ac:dyDescent="0.2">
      <c r="A83" s="1" t="s">
        <v>81</v>
      </c>
      <c r="B83">
        <v>2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1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9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1</v>
      </c>
      <c r="CG83" s="3">
        <v>0</v>
      </c>
      <c r="CH83" s="3">
        <v>1</v>
      </c>
      <c r="CI83" s="3">
        <v>0</v>
      </c>
      <c r="CJ83" s="3">
        <v>4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2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1</v>
      </c>
      <c r="DD83" s="3">
        <v>0</v>
      </c>
      <c r="DF83">
        <v>1.4009698545815699</v>
      </c>
    </row>
    <row r="84" spans="1:116" x14ac:dyDescent="0.2">
      <c r="A84" s="1" t="s">
        <v>82</v>
      </c>
      <c r="B84">
        <v>3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9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8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F84">
        <v>4.354243607818896</v>
      </c>
    </row>
    <row r="85" spans="1:116" x14ac:dyDescent="0.2">
      <c r="A85" s="1" t="s">
        <v>83</v>
      </c>
      <c r="B85">
        <v>2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9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2</v>
      </c>
      <c r="CN85" s="3">
        <v>6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1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F85">
        <v>4.3668921359032158</v>
      </c>
    </row>
    <row r="86" spans="1:116" x14ac:dyDescent="0.2">
      <c r="A86" s="1" t="s">
        <v>84</v>
      </c>
      <c r="B86">
        <v>1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9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10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F86">
        <v>2.7040917268510301</v>
      </c>
    </row>
    <row r="87" spans="1:116" x14ac:dyDescent="0.2">
      <c r="A87" s="1" t="s">
        <v>85</v>
      </c>
      <c r="B87">
        <v>3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9">
        <v>0</v>
      </c>
      <c r="AN87" s="3">
        <v>0</v>
      </c>
      <c r="AO87" s="3">
        <v>0</v>
      </c>
      <c r="AP87" s="3">
        <v>0</v>
      </c>
      <c r="AQ87" s="3">
        <v>0</v>
      </c>
      <c r="AR87" s="3">
        <v>5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1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1</v>
      </c>
      <c r="CQ87" s="3">
        <v>2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F87">
        <v>5.9301552363321477</v>
      </c>
    </row>
    <row r="88" spans="1:116" x14ac:dyDescent="0.2">
      <c r="A88" s="1" t="s">
        <v>86</v>
      </c>
      <c r="B88">
        <v>3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9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1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1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F88">
        <v>5.4236200443039131</v>
      </c>
    </row>
    <row r="89" spans="1:116" x14ac:dyDescent="0.2">
      <c r="A89" s="1" t="s">
        <v>87</v>
      </c>
      <c r="B89">
        <v>3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1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9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2</v>
      </c>
      <c r="DF89">
        <v>1.7275412407528701</v>
      </c>
    </row>
    <row r="90" spans="1:116" x14ac:dyDescent="0.2">
      <c r="A90" s="1" t="s">
        <v>88</v>
      </c>
      <c r="B90">
        <v>3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3</v>
      </c>
      <c r="M90" s="3">
        <v>0</v>
      </c>
      <c r="N90" s="3">
        <v>2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9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1</v>
      </c>
      <c r="DF90">
        <v>1.3627304526261201</v>
      </c>
    </row>
    <row r="91" spans="1:116" x14ac:dyDescent="0.2">
      <c r="A91" s="1" t="s">
        <v>89</v>
      </c>
      <c r="B91">
        <v>1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1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3</v>
      </c>
      <c r="AJ91" s="3">
        <v>0</v>
      </c>
      <c r="AK91" s="3">
        <v>0</v>
      </c>
      <c r="AL91" s="3">
        <v>0</v>
      </c>
      <c r="AM91" s="9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2</v>
      </c>
      <c r="CT91" s="3">
        <v>3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1</v>
      </c>
      <c r="DD91" s="3">
        <v>0</v>
      </c>
      <c r="DF91">
        <v>1.4862329820323299</v>
      </c>
    </row>
    <row r="92" spans="1:116" x14ac:dyDescent="0.2">
      <c r="A92" s="1" t="s">
        <v>90</v>
      </c>
      <c r="B92">
        <v>2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9">
        <v>0</v>
      </c>
      <c r="AN92" s="3">
        <v>0</v>
      </c>
      <c r="AO92" s="3">
        <v>2</v>
      </c>
      <c r="AP92" s="3">
        <v>2</v>
      </c>
      <c r="AQ92" s="3">
        <v>3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2</v>
      </c>
      <c r="BF92" s="3">
        <v>1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F92">
        <v>5.1889275671038462</v>
      </c>
    </row>
    <row r="93" spans="1:116" x14ac:dyDescent="0.2">
      <c r="A93" s="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10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</row>
    <row r="94" spans="1:116" s="5" customFormat="1" x14ac:dyDescent="0.2">
      <c r="A94" s="2" t="s">
        <v>188</v>
      </c>
      <c r="C94" s="5">
        <f>SUM(C2:C92)</f>
        <v>20</v>
      </c>
      <c r="D94" s="5">
        <f t="shared" ref="D94:BO94" si="0">SUM(D2:D92)</f>
        <v>15</v>
      </c>
      <c r="E94" s="5">
        <f t="shared" si="0"/>
        <v>34</v>
      </c>
      <c r="F94" s="5">
        <f t="shared" si="0"/>
        <v>16</v>
      </c>
      <c r="G94" s="5">
        <f t="shared" si="0"/>
        <v>33</v>
      </c>
      <c r="H94" s="5">
        <f t="shared" si="0"/>
        <v>23</v>
      </c>
      <c r="I94" s="5">
        <f t="shared" si="0"/>
        <v>19</v>
      </c>
      <c r="J94" s="5">
        <f t="shared" si="0"/>
        <v>18</v>
      </c>
      <c r="K94" s="5">
        <f t="shared" si="0"/>
        <v>19</v>
      </c>
      <c r="L94" s="5">
        <f t="shared" si="0"/>
        <v>17</v>
      </c>
      <c r="M94" s="5">
        <f t="shared" si="0"/>
        <v>22</v>
      </c>
      <c r="N94" s="5">
        <f t="shared" si="0"/>
        <v>20</v>
      </c>
      <c r="O94" s="5">
        <f t="shared" si="0"/>
        <v>17</v>
      </c>
      <c r="P94" s="5">
        <f t="shared" si="0"/>
        <v>16</v>
      </c>
      <c r="Q94" s="5">
        <f t="shared" si="0"/>
        <v>24</v>
      </c>
      <c r="R94" s="5">
        <f t="shared" si="0"/>
        <v>15</v>
      </c>
      <c r="S94" s="5">
        <f t="shared" si="0"/>
        <v>11</v>
      </c>
      <c r="T94" s="5">
        <f t="shared" si="0"/>
        <v>8</v>
      </c>
      <c r="U94" s="5">
        <f t="shared" si="0"/>
        <v>4</v>
      </c>
      <c r="V94" s="5">
        <f t="shared" si="0"/>
        <v>1</v>
      </c>
      <c r="W94" s="5">
        <f t="shared" si="0"/>
        <v>11</v>
      </c>
      <c r="X94" s="5">
        <f t="shared" si="0"/>
        <v>8</v>
      </c>
      <c r="Y94" s="5">
        <f t="shared" si="0"/>
        <v>6</v>
      </c>
      <c r="Z94" s="5">
        <f t="shared" si="0"/>
        <v>7</v>
      </c>
      <c r="AA94" s="5">
        <f t="shared" si="0"/>
        <v>2</v>
      </c>
      <c r="AB94" s="5">
        <f t="shared" si="0"/>
        <v>10</v>
      </c>
      <c r="AC94" s="5">
        <f t="shared" si="0"/>
        <v>2</v>
      </c>
      <c r="AD94" s="5">
        <f t="shared" si="0"/>
        <v>4</v>
      </c>
      <c r="AE94" s="5">
        <f t="shared" si="0"/>
        <v>6</v>
      </c>
      <c r="AF94" s="5">
        <f t="shared" si="0"/>
        <v>5</v>
      </c>
      <c r="AG94" s="5">
        <f t="shared" si="0"/>
        <v>7</v>
      </c>
      <c r="AH94" s="5">
        <f t="shared" si="0"/>
        <v>2</v>
      </c>
      <c r="AI94" s="5">
        <f t="shared" si="0"/>
        <v>8</v>
      </c>
      <c r="AJ94" s="5">
        <f t="shared" si="0"/>
        <v>5</v>
      </c>
      <c r="AK94" s="5">
        <f t="shared" si="0"/>
        <v>10</v>
      </c>
      <c r="AL94" s="5">
        <f t="shared" si="0"/>
        <v>5</v>
      </c>
      <c r="AM94" s="11"/>
      <c r="AN94" s="5">
        <f t="shared" si="0"/>
        <v>8</v>
      </c>
      <c r="AO94" s="5">
        <f t="shared" si="0"/>
        <v>8</v>
      </c>
      <c r="AP94" s="5">
        <f t="shared" si="0"/>
        <v>15</v>
      </c>
      <c r="AQ94" s="5">
        <f t="shared" si="0"/>
        <v>9</v>
      </c>
      <c r="AR94" s="5">
        <f t="shared" si="0"/>
        <v>7</v>
      </c>
      <c r="AS94" s="5">
        <f t="shared" si="0"/>
        <v>3</v>
      </c>
      <c r="AT94" s="5">
        <f t="shared" si="0"/>
        <v>10</v>
      </c>
      <c r="AU94" s="5">
        <f t="shared" si="0"/>
        <v>7</v>
      </c>
      <c r="AV94" s="5">
        <f t="shared" si="0"/>
        <v>12</v>
      </c>
      <c r="AW94" s="5">
        <f t="shared" si="0"/>
        <v>11</v>
      </c>
      <c r="AX94" s="5">
        <f t="shared" si="0"/>
        <v>12</v>
      </c>
      <c r="AY94" s="5">
        <f t="shared" si="0"/>
        <v>5</v>
      </c>
      <c r="AZ94" s="5">
        <f t="shared" si="0"/>
        <v>5</v>
      </c>
      <c r="BA94" s="5">
        <f t="shared" si="0"/>
        <v>12</v>
      </c>
      <c r="BB94" s="5">
        <f t="shared" si="0"/>
        <v>2</v>
      </c>
      <c r="BC94" s="5">
        <f t="shared" si="0"/>
        <v>15</v>
      </c>
      <c r="BD94" s="5">
        <f t="shared" si="0"/>
        <v>10</v>
      </c>
      <c r="BE94" s="5">
        <f t="shared" si="0"/>
        <v>6</v>
      </c>
      <c r="BF94" s="5">
        <f t="shared" si="0"/>
        <v>7</v>
      </c>
      <c r="BG94" s="5">
        <f t="shared" si="0"/>
        <v>8</v>
      </c>
      <c r="BH94" s="5">
        <f t="shared" si="0"/>
        <v>9</v>
      </c>
      <c r="BI94" s="5">
        <f t="shared" si="0"/>
        <v>11</v>
      </c>
      <c r="BJ94" s="5">
        <f t="shared" si="0"/>
        <v>7</v>
      </c>
      <c r="BK94" s="5">
        <f t="shared" si="0"/>
        <v>7</v>
      </c>
      <c r="BL94" s="5">
        <f t="shared" si="0"/>
        <v>4</v>
      </c>
      <c r="BM94" s="5">
        <f t="shared" si="0"/>
        <v>7</v>
      </c>
      <c r="BN94" s="5">
        <f t="shared" si="0"/>
        <v>10</v>
      </c>
      <c r="BO94" s="5">
        <f t="shared" si="0"/>
        <v>7</v>
      </c>
      <c r="BP94" s="5">
        <f t="shared" ref="BP94:DD94" si="1">SUM(BP2:BP92)</f>
        <v>9</v>
      </c>
      <c r="BQ94" s="5">
        <f t="shared" si="1"/>
        <v>14</v>
      </c>
      <c r="BR94" s="5">
        <f t="shared" si="1"/>
        <v>7</v>
      </c>
      <c r="BS94" s="5">
        <f t="shared" si="1"/>
        <v>10</v>
      </c>
      <c r="BT94" s="5">
        <f t="shared" si="1"/>
        <v>1</v>
      </c>
      <c r="BU94" s="5">
        <f t="shared" si="1"/>
        <v>11</v>
      </c>
      <c r="BV94" s="5">
        <f t="shared" si="1"/>
        <v>6</v>
      </c>
      <c r="BW94" s="5">
        <f t="shared" si="1"/>
        <v>7</v>
      </c>
      <c r="BX94" s="5">
        <f t="shared" si="1"/>
        <v>3</v>
      </c>
      <c r="BY94" s="5">
        <f t="shared" si="1"/>
        <v>8</v>
      </c>
      <c r="BZ94" s="5">
        <f t="shared" si="1"/>
        <v>5</v>
      </c>
      <c r="CA94" s="5">
        <f t="shared" si="1"/>
        <v>7</v>
      </c>
      <c r="CB94" s="5">
        <f t="shared" si="1"/>
        <v>9</v>
      </c>
      <c r="CC94" s="5">
        <f t="shared" si="1"/>
        <v>10</v>
      </c>
      <c r="CD94" s="5">
        <f t="shared" si="1"/>
        <v>4</v>
      </c>
      <c r="CE94" s="5">
        <f t="shared" si="1"/>
        <v>8</v>
      </c>
      <c r="CF94" s="5">
        <f t="shared" si="1"/>
        <v>6</v>
      </c>
      <c r="CG94" s="5">
        <f t="shared" si="1"/>
        <v>8</v>
      </c>
      <c r="CH94" s="5">
        <f t="shared" si="1"/>
        <v>6</v>
      </c>
      <c r="CI94" s="5">
        <f t="shared" si="1"/>
        <v>2</v>
      </c>
      <c r="CJ94" s="5">
        <f t="shared" si="1"/>
        <v>6</v>
      </c>
      <c r="CK94" s="5">
        <f t="shared" si="1"/>
        <v>4</v>
      </c>
      <c r="CL94" s="5">
        <f t="shared" si="1"/>
        <v>6</v>
      </c>
      <c r="CM94" s="5">
        <f t="shared" si="1"/>
        <v>2</v>
      </c>
      <c r="CN94" s="5">
        <f t="shared" si="1"/>
        <v>6</v>
      </c>
      <c r="CO94" s="5">
        <f t="shared" si="1"/>
        <v>6</v>
      </c>
      <c r="CP94" s="5">
        <f t="shared" si="1"/>
        <v>5</v>
      </c>
      <c r="CQ94" s="5">
        <f t="shared" si="1"/>
        <v>2</v>
      </c>
      <c r="CR94" s="5">
        <f t="shared" si="1"/>
        <v>6</v>
      </c>
      <c r="CS94" s="5">
        <f t="shared" si="1"/>
        <v>6</v>
      </c>
      <c r="CT94" s="5">
        <f t="shared" si="1"/>
        <v>3</v>
      </c>
      <c r="CU94" s="5">
        <f t="shared" si="1"/>
        <v>14</v>
      </c>
      <c r="CV94" s="5">
        <f t="shared" si="1"/>
        <v>6</v>
      </c>
      <c r="CW94" s="5">
        <f t="shared" si="1"/>
        <v>8</v>
      </c>
      <c r="CX94" s="5">
        <f t="shared" si="1"/>
        <v>9</v>
      </c>
      <c r="CY94" s="5">
        <f t="shared" si="1"/>
        <v>3</v>
      </c>
      <c r="CZ94" s="5">
        <f t="shared" si="1"/>
        <v>1</v>
      </c>
      <c r="DA94" s="5">
        <f t="shared" si="1"/>
        <v>1</v>
      </c>
      <c r="DB94" s="5">
        <f t="shared" si="1"/>
        <v>4</v>
      </c>
      <c r="DC94" s="5">
        <f t="shared" si="1"/>
        <v>2</v>
      </c>
      <c r="DD94" s="5">
        <f t="shared" si="1"/>
        <v>4</v>
      </c>
      <c r="DF94"/>
      <c r="DG94"/>
      <c r="DH94"/>
      <c r="DI94"/>
      <c r="DJ94"/>
      <c r="DK94"/>
      <c r="DL94"/>
    </row>
    <row r="95" spans="1:116" s="5" customFormat="1" x14ac:dyDescent="0.2">
      <c r="A95" s="2" t="s">
        <v>189</v>
      </c>
      <c r="C95" s="5">
        <f>COUNTIF(C2:C92, "&gt;0")</f>
        <v>5</v>
      </c>
      <c r="D95" s="5">
        <f t="shared" ref="D95:BO95" si="2">COUNTIF(D2:D92, "&gt;0")</f>
        <v>5</v>
      </c>
      <c r="E95" s="5">
        <f t="shared" si="2"/>
        <v>7</v>
      </c>
      <c r="F95" s="5">
        <f t="shared" si="2"/>
        <v>4</v>
      </c>
      <c r="G95" s="5">
        <f t="shared" si="2"/>
        <v>8</v>
      </c>
      <c r="H95" s="5">
        <f t="shared" si="2"/>
        <v>5</v>
      </c>
      <c r="I95" s="5">
        <f t="shared" si="2"/>
        <v>6</v>
      </c>
      <c r="J95" s="5">
        <f t="shared" si="2"/>
        <v>3</v>
      </c>
      <c r="K95" s="5">
        <f t="shared" si="2"/>
        <v>3</v>
      </c>
      <c r="L95" s="5">
        <f t="shared" si="2"/>
        <v>5</v>
      </c>
      <c r="M95" s="5">
        <f t="shared" si="2"/>
        <v>5</v>
      </c>
      <c r="N95" s="5">
        <f t="shared" si="2"/>
        <v>5</v>
      </c>
      <c r="O95" s="5">
        <f t="shared" si="2"/>
        <v>5</v>
      </c>
      <c r="P95" s="5">
        <f t="shared" si="2"/>
        <v>3</v>
      </c>
      <c r="Q95" s="5">
        <f t="shared" si="2"/>
        <v>5</v>
      </c>
      <c r="R95" s="5">
        <f t="shared" si="2"/>
        <v>3</v>
      </c>
      <c r="S95" s="5">
        <f t="shared" si="2"/>
        <v>3</v>
      </c>
      <c r="T95" s="5">
        <f t="shared" si="2"/>
        <v>2</v>
      </c>
      <c r="U95" s="5">
        <f t="shared" si="2"/>
        <v>1</v>
      </c>
      <c r="V95" s="5">
        <f t="shared" si="2"/>
        <v>1</v>
      </c>
      <c r="W95" s="5">
        <f t="shared" si="2"/>
        <v>4</v>
      </c>
      <c r="X95" s="5">
        <f t="shared" si="2"/>
        <v>2</v>
      </c>
      <c r="Y95" s="5">
        <f t="shared" si="2"/>
        <v>3</v>
      </c>
      <c r="Z95" s="5">
        <f t="shared" si="2"/>
        <v>3</v>
      </c>
      <c r="AA95" s="5">
        <f t="shared" si="2"/>
        <v>1</v>
      </c>
      <c r="AB95" s="5">
        <f t="shared" si="2"/>
        <v>4</v>
      </c>
      <c r="AC95" s="5">
        <f t="shared" si="2"/>
        <v>1</v>
      </c>
      <c r="AD95" s="5">
        <f t="shared" si="2"/>
        <v>2</v>
      </c>
      <c r="AE95" s="5">
        <f t="shared" si="2"/>
        <v>2</v>
      </c>
      <c r="AF95" s="5">
        <f t="shared" si="2"/>
        <v>3</v>
      </c>
      <c r="AG95" s="5">
        <f t="shared" si="2"/>
        <v>2</v>
      </c>
      <c r="AH95" s="5">
        <f t="shared" si="2"/>
        <v>1</v>
      </c>
      <c r="AI95" s="5">
        <f t="shared" si="2"/>
        <v>2</v>
      </c>
      <c r="AJ95" s="5">
        <f t="shared" si="2"/>
        <v>2</v>
      </c>
      <c r="AK95" s="5">
        <f t="shared" si="2"/>
        <v>3</v>
      </c>
      <c r="AL95" s="5">
        <f t="shared" si="2"/>
        <v>3</v>
      </c>
      <c r="AM95" s="11"/>
      <c r="AN95" s="5">
        <f t="shared" si="2"/>
        <v>3</v>
      </c>
      <c r="AO95" s="5">
        <f t="shared" si="2"/>
        <v>4</v>
      </c>
      <c r="AP95" s="5">
        <f t="shared" si="2"/>
        <v>6</v>
      </c>
      <c r="AQ95" s="5">
        <f t="shared" si="2"/>
        <v>6</v>
      </c>
      <c r="AR95" s="5">
        <f t="shared" si="2"/>
        <v>2</v>
      </c>
      <c r="AS95" s="5">
        <f t="shared" si="2"/>
        <v>1</v>
      </c>
      <c r="AT95" s="5">
        <f t="shared" si="2"/>
        <v>2</v>
      </c>
      <c r="AU95" s="5">
        <f t="shared" si="2"/>
        <v>4</v>
      </c>
      <c r="AV95" s="5">
        <f t="shared" si="2"/>
        <v>4</v>
      </c>
      <c r="AW95" s="5">
        <f t="shared" si="2"/>
        <v>3</v>
      </c>
      <c r="AX95" s="5">
        <f t="shared" si="2"/>
        <v>5</v>
      </c>
      <c r="AY95" s="5">
        <f t="shared" si="2"/>
        <v>2</v>
      </c>
      <c r="AZ95" s="5">
        <f t="shared" si="2"/>
        <v>3</v>
      </c>
      <c r="BA95" s="5">
        <f t="shared" si="2"/>
        <v>5</v>
      </c>
      <c r="BB95" s="5">
        <f t="shared" si="2"/>
        <v>1</v>
      </c>
      <c r="BC95" s="5">
        <f t="shared" si="2"/>
        <v>4</v>
      </c>
      <c r="BD95" s="5">
        <f t="shared" si="2"/>
        <v>3</v>
      </c>
      <c r="BE95" s="5">
        <f t="shared" si="2"/>
        <v>3</v>
      </c>
      <c r="BF95" s="5">
        <f t="shared" si="2"/>
        <v>5</v>
      </c>
      <c r="BG95" s="5">
        <f t="shared" si="2"/>
        <v>4</v>
      </c>
      <c r="BH95" s="5">
        <f t="shared" si="2"/>
        <v>2</v>
      </c>
      <c r="BI95" s="5">
        <f t="shared" si="2"/>
        <v>2</v>
      </c>
      <c r="BJ95" s="5">
        <f t="shared" si="2"/>
        <v>2</v>
      </c>
      <c r="BK95" s="5">
        <f t="shared" si="2"/>
        <v>4</v>
      </c>
      <c r="BL95" s="5">
        <f t="shared" si="2"/>
        <v>3</v>
      </c>
      <c r="BM95" s="5">
        <f t="shared" si="2"/>
        <v>2</v>
      </c>
      <c r="BN95" s="5">
        <f t="shared" si="2"/>
        <v>2</v>
      </c>
      <c r="BO95" s="5">
        <f t="shared" si="2"/>
        <v>3</v>
      </c>
      <c r="BP95" s="5">
        <f t="shared" ref="BP95:DD95" si="3">COUNTIF(BP2:BP92, "&gt;0")</f>
        <v>3</v>
      </c>
      <c r="BQ95" s="5">
        <f t="shared" si="3"/>
        <v>5</v>
      </c>
      <c r="BR95" s="5">
        <f t="shared" si="3"/>
        <v>2</v>
      </c>
      <c r="BS95" s="5">
        <f t="shared" si="3"/>
        <v>4</v>
      </c>
      <c r="BT95" s="5">
        <f t="shared" si="3"/>
        <v>1</v>
      </c>
      <c r="BU95" s="5">
        <f t="shared" si="3"/>
        <v>3</v>
      </c>
      <c r="BV95" s="5">
        <f t="shared" si="3"/>
        <v>2</v>
      </c>
      <c r="BW95" s="5">
        <f t="shared" si="3"/>
        <v>3</v>
      </c>
      <c r="BX95" s="5">
        <f t="shared" si="3"/>
        <v>1</v>
      </c>
      <c r="BY95" s="5">
        <f t="shared" si="3"/>
        <v>2</v>
      </c>
      <c r="BZ95" s="5">
        <f t="shared" si="3"/>
        <v>1</v>
      </c>
      <c r="CA95" s="5">
        <f t="shared" si="3"/>
        <v>3</v>
      </c>
      <c r="CB95" s="5">
        <f t="shared" si="3"/>
        <v>4</v>
      </c>
      <c r="CC95" s="5">
        <f t="shared" si="3"/>
        <v>4</v>
      </c>
      <c r="CD95" s="5">
        <f t="shared" si="3"/>
        <v>1</v>
      </c>
      <c r="CE95" s="5">
        <f t="shared" si="3"/>
        <v>4</v>
      </c>
      <c r="CF95" s="5">
        <f t="shared" si="3"/>
        <v>4</v>
      </c>
      <c r="CG95" s="5">
        <f t="shared" si="3"/>
        <v>5</v>
      </c>
      <c r="CH95" s="5">
        <f t="shared" si="3"/>
        <v>4</v>
      </c>
      <c r="CI95" s="5">
        <f t="shared" si="3"/>
        <v>1</v>
      </c>
      <c r="CJ95" s="5">
        <f t="shared" si="3"/>
        <v>2</v>
      </c>
      <c r="CK95" s="5">
        <f t="shared" si="3"/>
        <v>1</v>
      </c>
      <c r="CL95" s="5">
        <f t="shared" si="3"/>
        <v>4</v>
      </c>
      <c r="CM95" s="5">
        <f t="shared" si="3"/>
        <v>1</v>
      </c>
      <c r="CN95" s="5">
        <f t="shared" si="3"/>
        <v>1</v>
      </c>
      <c r="CO95" s="5">
        <f t="shared" si="3"/>
        <v>2</v>
      </c>
      <c r="CP95" s="5">
        <f t="shared" si="3"/>
        <v>3</v>
      </c>
      <c r="CQ95" s="5">
        <f t="shared" si="3"/>
        <v>1</v>
      </c>
      <c r="CR95" s="5">
        <f t="shared" si="3"/>
        <v>1</v>
      </c>
      <c r="CS95" s="5">
        <f t="shared" si="3"/>
        <v>3</v>
      </c>
      <c r="CT95" s="5">
        <f t="shared" si="3"/>
        <v>1</v>
      </c>
      <c r="CU95" s="5">
        <f t="shared" si="3"/>
        <v>4</v>
      </c>
      <c r="CV95" s="5">
        <f t="shared" si="3"/>
        <v>3</v>
      </c>
      <c r="CW95" s="5">
        <f t="shared" si="3"/>
        <v>2</v>
      </c>
      <c r="CX95" s="5">
        <f t="shared" si="3"/>
        <v>3</v>
      </c>
      <c r="CY95" s="5">
        <f t="shared" si="3"/>
        <v>2</v>
      </c>
      <c r="CZ95" s="5">
        <f t="shared" si="3"/>
        <v>1</v>
      </c>
      <c r="DA95" s="5">
        <f t="shared" si="3"/>
        <v>1</v>
      </c>
      <c r="DB95" s="5">
        <f t="shared" si="3"/>
        <v>1</v>
      </c>
      <c r="DC95" s="5">
        <f t="shared" si="3"/>
        <v>2</v>
      </c>
      <c r="DD95" s="5">
        <f t="shared" si="3"/>
        <v>3</v>
      </c>
      <c r="DF95"/>
      <c r="DG95"/>
      <c r="DH95"/>
      <c r="DI95"/>
      <c r="DJ95"/>
      <c r="DK95"/>
      <c r="DL95"/>
    </row>
    <row r="96" spans="1:116" x14ac:dyDescent="0.2">
      <c r="A96" s="2"/>
    </row>
    <row r="97" spans="2:39" x14ac:dyDescent="0.2">
      <c r="B97" t="s">
        <v>201</v>
      </c>
      <c r="AM97"/>
    </row>
    <row r="98" spans="2:39" x14ac:dyDescent="0.2">
      <c r="B98" t="s">
        <v>202</v>
      </c>
      <c r="AM98" t="s">
        <v>208</v>
      </c>
    </row>
    <row r="99" spans="2:39" x14ac:dyDescent="0.2">
      <c r="B99" t="s">
        <v>203</v>
      </c>
      <c r="AM99"/>
    </row>
    <row r="100" spans="2:39" x14ac:dyDescent="0.2">
      <c r="B100" t="s">
        <v>209</v>
      </c>
      <c r="AM100"/>
    </row>
    <row r="101" spans="2:39" x14ac:dyDescent="0.2">
      <c r="AM101"/>
    </row>
    <row r="102" spans="2:39" x14ac:dyDescent="0.2">
      <c r="AM102"/>
    </row>
    <row r="103" spans="2:39" x14ac:dyDescent="0.2">
      <c r="AM103"/>
    </row>
    <row r="104" spans="2:39" x14ac:dyDescent="0.2">
      <c r="AM104"/>
    </row>
    <row r="105" spans="2:39" x14ac:dyDescent="0.2">
      <c r="AM105"/>
    </row>
    <row r="106" spans="2:39" x14ac:dyDescent="0.2">
      <c r="AM106"/>
    </row>
    <row r="107" spans="2:39" x14ac:dyDescent="0.2">
      <c r="AM107"/>
    </row>
    <row r="108" spans="2:39" x14ac:dyDescent="0.2">
      <c r="AM108"/>
    </row>
    <row r="109" spans="2:39" x14ac:dyDescent="0.2">
      <c r="AM109"/>
    </row>
    <row r="110" spans="2:39" x14ac:dyDescent="0.2">
      <c r="AM110"/>
    </row>
    <row r="111" spans="2:39" x14ac:dyDescent="0.2">
      <c r="AM111"/>
    </row>
    <row r="112" spans="2:39" x14ac:dyDescent="0.2">
      <c r="AM112"/>
    </row>
    <row r="113" spans="39:39" x14ac:dyDescent="0.2">
      <c r="AM113"/>
    </row>
    <row r="114" spans="39:39" x14ac:dyDescent="0.2">
      <c r="AM114"/>
    </row>
    <row r="115" spans="39:39" x14ac:dyDescent="0.2">
      <c r="AM115"/>
    </row>
    <row r="116" spans="39:39" x14ac:dyDescent="0.2">
      <c r="AM116"/>
    </row>
    <row r="117" spans="39:39" x14ac:dyDescent="0.2">
      <c r="AM117"/>
    </row>
    <row r="118" spans="39:39" x14ac:dyDescent="0.2">
      <c r="AM118"/>
    </row>
    <row r="119" spans="39:39" x14ac:dyDescent="0.2">
      <c r="AM119"/>
    </row>
    <row r="120" spans="39:39" x14ac:dyDescent="0.2">
      <c r="AM120"/>
    </row>
    <row r="121" spans="39:39" x14ac:dyDescent="0.2">
      <c r="AM121"/>
    </row>
    <row r="122" spans="39:39" x14ac:dyDescent="0.2">
      <c r="AM122"/>
    </row>
    <row r="123" spans="39:39" x14ac:dyDescent="0.2">
      <c r="AM123"/>
    </row>
    <row r="124" spans="39:39" x14ac:dyDescent="0.2">
      <c r="AM124"/>
    </row>
    <row r="125" spans="39:39" x14ac:dyDescent="0.2">
      <c r="AM125"/>
    </row>
    <row r="126" spans="39:39" x14ac:dyDescent="0.2">
      <c r="AM126"/>
    </row>
    <row r="127" spans="39:39" x14ac:dyDescent="0.2">
      <c r="AM127"/>
    </row>
    <row r="128" spans="39:39" x14ac:dyDescent="0.2">
      <c r="AM128"/>
    </row>
    <row r="129" spans="39:39" x14ac:dyDescent="0.2">
      <c r="AM129"/>
    </row>
    <row r="130" spans="39:39" x14ac:dyDescent="0.2">
      <c r="AM130"/>
    </row>
    <row r="131" spans="39:39" x14ac:dyDescent="0.2">
      <c r="AM131"/>
    </row>
    <row r="132" spans="39:39" x14ac:dyDescent="0.2">
      <c r="AM132"/>
    </row>
    <row r="133" spans="39:39" x14ac:dyDescent="0.2">
      <c r="AM133"/>
    </row>
    <row r="134" spans="39:39" x14ac:dyDescent="0.2">
      <c r="AM134"/>
    </row>
    <row r="135" spans="39:39" x14ac:dyDescent="0.2">
      <c r="AM135"/>
    </row>
    <row r="136" spans="39:39" x14ac:dyDescent="0.2">
      <c r="AM136"/>
    </row>
    <row r="137" spans="39:39" x14ac:dyDescent="0.2">
      <c r="AM137"/>
    </row>
    <row r="138" spans="39:39" x14ac:dyDescent="0.2">
      <c r="AM138"/>
    </row>
    <row r="139" spans="39:39" x14ac:dyDescent="0.2">
      <c r="AM139"/>
    </row>
    <row r="140" spans="39:39" x14ac:dyDescent="0.2">
      <c r="AM140"/>
    </row>
    <row r="141" spans="39:39" x14ac:dyDescent="0.2">
      <c r="AM141"/>
    </row>
    <row r="142" spans="39:39" x14ac:dyDescent="0.2">
      <c r="AM142"/>
    </row>
    <row r="143" spans="39:39" x14ac:dyDescent="0.2">
      <c r="AM143"/>
    </row>
    <row r="144" spans="39:39" x14ac:dyDescent="0.2">
      <c r="AM144"/>
    </row>
    <row r="145" spans="39:39" x14ac:dyDescent="0.2">
      <c r="AM145"/>
    </row>
    <row r="146" spans="39:39" x14ac:dyDescent="0.2">
      <c r="AM146"/>
    </row>
    <row r="147" spans="39:39" x14ac:dyDescent="0.2">
      <c r="AM147"/>
    </row>
    <row r="148" spans="39:39" x14ac:dyDescent="0.2">
      <c r="AM148"/>
    </row>
    <row r="149" spans="39:39" x14ac:dyDescent="0.2">
      <c r="AM149"/>
    </row>
    <row r="150" spans="39:39" x14ac:dyDescent="0.2">
      <c r="AM150"/>
    </row>
    <row r="151" spans="39:39" x14ac:dyDescent="0.2">
      <c r="AM151"/>
    </row>
    <row r="152" spans="39:39" x14ac:dyDescent="0.2">
      <c r="AM152"/>
    </row>
    <row r="153" spans="39:39" x14ac:dyDescent="0.2">
      <c r="AM153"/>
    </row>
    <row r="154" spans="39:39" x14ac:dyDescent="0.2">
      <c r="AM154"/>
    </row>
    <row r="155" spans="39:39" x14ac:dyDescent="0.2">
      <c r="AM155"/>
    </row>
    <row r="156" spans="39:39" x14ac:dyDescent="0.2">
      <c r="AM156"/>
    </row>
    <row r="157" spans="39:39" x14ac:dyDescent="0.2">
      <c r="AM157"/>
    </row>
    <row r="158" spans="39:39" x14ac:dyDescent="0.2">
      <c r="AM158"/>
    </row>
    <row r="159" spans="39:39" x14ac:dyDescent="0.2">
      <c r="AM159"/>
    </row>
  </sheetData>
  <conditionalFormatting sqref="C2:DD93">
    <cfRule type="colorScale" priority="1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Matrix</vt:lpstr>
      <vt:lpstr>Matrix!HC_to_Aff_5Apr2021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2021-04-05T16:49:53Z</dcterms:created>
  <dcterms:modified xsi:type="dcterms:W3CDTF">2022-05-06T14:19:48Z</dcterms:modified>
</cp:coreProperties>
</file>