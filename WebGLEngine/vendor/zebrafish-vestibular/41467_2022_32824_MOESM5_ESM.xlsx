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habagnall/Marfa/Manuscripts/Connectome paper/Resubmission/"/>
    </mc:Choice>
  </mc:AlternateContent>
  <xr:revisionPtr revIDLastSave="0" documentId="13_ncr:1_{44B1927A-9DAE-4440-9D72-05505AB28D38}" xr6:coauthVersionLast="46" xr6:coauthVersionMax="46" xr10:uidLastSave="{00000000-0000-0000-0000-000000000000}"/>
  <bookViews>
    <workbookView xWindow="9040" yWindow="6580" windowWidth="36360" windowHeight="20620" xr2:uid="{3BBEAA28-B546-0B41-AEA6-A66D25FD1542}"/>
  </bookViews>
  <sheets>
    <sheet name="Sheet1" sheetId="1" r:id="rId1"/>
  </sheets>
  <definedNames>
    <definedName name="Aff_to_targets_Mar2022" localSheetId="0">Sheet1!$A$1:$AR$107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107" i="1" l="1"/>
  <c r="BE107" i="1"/>
  <c r="BD107" i="1"/>
  <c r="BC107" i="1"/>
  <c r="BF106" i="1"/>
  <c r="BE106" i="1"/>
  <c r="BD106" i="1"/>
  <c r="BC106" i="1"/>
  <c r="BF105" i="1"/>
  <c r="BE105" i="1"/>
  <c r="BD105" i="1"/>
  <c r="BC105" i="1"/>
  <c r="BF104" i="1"/>
  <c r="BE104" i="1"/>
  <c r="BD104" i="1"/>
  <c r="BC104" i="1"/>
  <c r="BF103" i="1"/>
  <c r="BE103" i="1"/>
  <c r="BD103" i="1"/>
  <c r="BC103" i="1"/>
  <c r="BF102" i="1"/>
  <c r="BE102" i="1"/>
  <c r="BD102" i="1"/>
  <c r="BC102" i="1"/>
  <c r="BF101" i="1"/>
  <c r="BE101" i="1"/>
  <c r="BD101" i="1"/>
  <c r="BC101" i="1"/>
  <c r="BF100" i="1"/>
  <c r="BE100" i="1"/>
  <c r="BD100" i="1"/>
  <c r="BC100" i="1"/>
  <c r="BF99" i="1"/>
  <c r="BE99" i="1"/>
  <c r="BD99" i="1"/>
  <c r="BC99" i="1"/>
  <c r="BF98" i="1"/>
  <c r="BE98" i="1"/>
  <c r="BD98" i="1"/>
  <c r="BC98" i="1"/>
  <c r="BF97" i="1"/>
  <c r="BE97" i="1"/>
  <c r="BD97" i="1"/>
  <c r="BC97" i="1"/>
  <c r="BF96" i="1"/>
  <c r="BE96" i="1"/>
  <c r="BD96" i="1"/>
  <c r="BC96" i="1"/>
  <c r="BF95" i="1"/>
  <c r="BE95" i="1"/>
  <c r="BD95" i="1"/>
  <c r="BC95" i="1"/>
  <c r="BF94" i="1"/>
  <c r="BE94" i="1"/>
  <c r="BD94" i="1"/>
  <c r="BC94" i="1"/>
  <c r="BF93" i="1"/>
  <c r="BE93" i="1"/>
  <c r="BD93" i="1"/>
  <c r="BC93" i="1"/>
  <c r="BF92" i="1"/>
  <c r="BE92" i="1"/>
  <c r="BD92" i="1"/>
  <c r="BC92" i="1"/>
  <c r="BF91" i="1"/>
  <c r="BE91" i="1"/>
  <c r="BD91" i="1"/>
  <c r="BC91" i="1"/>
  <c r="BF90" i="1"/>
  <c r="BE90" i="1"/>
  <c r="BD90" i="1"/>
  <c r="BC90" i="1"/>
  <c r="BF89" i="1"/>
  <c r="BE89" i="1"/>
  <c r="BD89" i="1"/>
  <c r="BC89" i="1"/>
  <c r="BF88" i="1"/>
  <c r="BE88" i="1"/>
  <c r="BD88" i="1"/>
  <c r="BC88" i="1"/>
  <c r="BF87" i="1"/>
  <c r="BE87" i="1"/>
  <c r="BD87" i="1"/>
  <c r="BC87" i="1"/>
  <c r="BF86" i="1"/>
  <c r="BE86" i="1"/>
  <c r="BD86" i="1"/>
  <c r="BC86" i="1"/>
  <c r="BF85" i="1"/>
  <c r="BE85" i="1"/>
  <c r="BD85" i="1"/>
  <c r="BC85" i="1"/>
  <c r="BF84" i="1"/>
  <c r="BE84" i="1"/>
  <c r="BD84" i="1"/>
  <c r="BC84" i="1"/>
  <c r="BF83" i="1"/>
  <c r="BE83" i="1"/>
  <c r="BD83" i="1"/>
  <c r="BC83" i="1"/>
  <c r="BF82" i="1"/>
  <c r="BE82" i="1"/>
  <c r="BD82" i="1"/>
  <c r="BC82" i="1"/>
  <c r="BF81" i="1"/>
  <c r="BE81" i="1"/>
  <c r="BD81" i="1"/>
  <c r="BC81" i="1"/>
  <c r="BF80" i="1"/>
  <c r="BE80" i="1"/>
  <c r="BD80" i="1"/>
  <c r="BC80" i="1"/>
  <c r="BF79" i="1"/>
  <c r="BE79" i="1"/>
  <c r="BD79" i="1"/>
  <c r="BC79" i="1"/>
  <c r="BF78" i="1"/>
  <c r="BE78" i="1"/>
  <c r="BD78" i="1"/>
  <c r="BC78" i="1"/>
  <c r="BF77" i="1"/>
  <c r="BE77" i="1"/>
  <c r="BD77" i="1"/>
  <c r="BC77" i="1"/>
  <c r="BF76" i="1"/>
  <c r="BE76" i="1"/>
  <c r="BD76" i="1"/>
  <c r="BC76" i="1"/>
  <c r="BF75" i="1"/>
  <c r="BE75" i="1"/>
  <c r="BD75" i="1"/>
  <c r="BC75" i="1"/>
  <c r="BF74" i="1"/>
  <c r="BE74" i="1"/>
  <c r="BD74" i="1"/>
  <c r="BC74" i="1"/>
  <c r="BF73" i="1"/>
  <c r="BE73" i="1"/>
  <c r="BD73" i="1"/>
  <c r="BC73" i="1"/>
  <c r="BF72" i="1"/>
  <c r="BE72" i="1"/>
  <c r="BD72" i="1"/>
  <c r="BC72" i="1"/>
  <c r="BF71" i="1"/>
  <c r="BE71" i="1"/>
  <c r="BD71" i="1"/>
  <c r="BC71" i="1"/>
  <c r="BF70" i="1"/>
  <c r="BE70" i="1"/>
  <c r="BD70" i="1"/>
  <c r="BC70" i="1"/>
  <c r="BF69" i="1"/>
  <c r="BE69" i="1"/>
  <c r="BD69" i="1"/>
  <c r="BC69" i="1"/>
  <c r="BF68" i="1"/>
  <c r="BE68" i="1"/>
  <c r="BD68" i="1"/>
  <c r="BC68" i="1"/>
  <c r="BF67" i="1"/>
  <c r="BE67" i="1"/>
  <c r="BD67" i="1"/>
  <c r="BC67" i="1"/>
  <c r="BF66" i="1"/>
  <c r="BE66" i="1"/>
  <c r="BD66" i="1"/>
  <c r="BC66" i="1"/>
  <c r="BF65" i="1"/>
  <c r="BE65" i="1"/>
  <c r="BD65" i="1"/>
  <c r="BC65" i="1"/>
  <c r="BF64" i="1"/>
  <c r="BE64" i="1"/>
  <c r="BD64" i="1"/>
  <c r="BC64" i="1"/>
  <c r="BF63" i="1"/>
  <c r="BE63" i="1"/>
  <c r="BD63" i="1"/>
  <c r="BC63" i="1"/>
  <c r="BF62" i="1"/>
  <c r="BE62" i="1"/>
  <c r="BD62" i="1"/>
  <c r="BC62" i="1"/>
  <c r="BF61" i="1"/>
  <c r="BE61" i="1"/>
  <c r="BD61" i="1"/>
  <c r="BC61" i="1"/>
  <c r="BF60" i="1"/>
  <c r="BE60" i="1"/>
  <c r="BD60" i="1"/>
  <c r="BC60" i="1"/>
  <c r="BF59" i="1"/>
  <c r="BE59" i="1"/>
  <c r="BD59" i="1"/>
  <c r="BC59" i="1"/>
  <c r="BF58" i="1"/>
  <c r="BE58" i="1"/>
  <c r="BD58" i="1"/>
  <c r="BC58" i="1"/>
  <c r="BF57" i="1"/>
  <c r="BE57" i="1"/>
  <c r="BD57" i="1"/>
  <c r="BC57" i="1"/>
  <c r="BF56" i="1"/>
  <c r="BE56" i="1"/>
  <c r="BD56" i="1"/>
  <c r="BC56" i="1"/>
  <c r="BF55" i="1"/>
  <c r="BE55" i="1"/>
  <c r="BD55" i="1"/>
  <c r="BC55" i="1"/>
  <c r="BF54" i="1"/>
  <c r="BE54" i="1"/>
  <c r="BD54" i="1"/>
  <c r="BC54" i="1"/>
  <c r="BF53" i="1"/>
  <c r="BE53" i="1"/>
  <c r="BD53" i="1"/>
  <c r="BC53" i="1"/>
  <c r="BF52" i="1"/>
  <c r="BE52" i="1"/>
  <c r="BD52" i="1"/>
  <c r="BC52" i="1"/>
  <c r="BF51" i="1"/>
  <c r="BE51" i="1"/>
  <c r="BD51" i="1"/>
  <c r="BC51" i="1"/>
  <c r="BF50" i="1"/>
  <c r="BE50" i="1"/>
  <c r="BD50" i="1"/>
  <c r="BC50" i="1"/>
  <c r="BF49" i="1"/>
  <c r="BE49" i="1"/>
  <c r="BD49" i="1"/>
  <c r="BC49" i="1"/>
  <c r="BF48" i="1"/>
  <c r="BE48" i="1"/>
  <c r="BD48" i="1"/>
  <c r="BC48" i="1"/>
  <c r="BF47" i="1"/>
  <c r="BE47" i="1"/>
  <c r="BD47" i="1"/>
  <c r="BC47" i="1"/>
  <c r="BF46" i="1"/>
  <c r="BE46" i="1"/>
  <c r="BD46" i="1"/>
  <c r="BC46" i="1"/>
  <c r="BF45" i="1"/>
  <c r="BE45" i="1"/>
  <c r="BD45" i="1"/>
  <c r="BC45" i="1"/>
  <c r="BF44" i="1"/>
  <c r="BE44" i="1"/>
  <c r="BD44" i="1"/>
  <c r="BC44" i="1"/>
  <c r="BF43" i="1"/>
  <c r="BE43" i="1"/>
  <c r="BD43" i="1"/>
  <c r="BC43" i="1"/>
  <c r="BF42" i="1"/>
  <c r="BE42" i="1"/>
  <c r="BD42" i="1"/>
  <c r="BC42" i="1"/>
  <c r="BF41" i="1"/>
  <c r="BE41" i="1"/>
  <c r="BD41" i="1"/>
  <c r="BC41" i="1"/>
  <c r="BF40" i="1"/>
  <c r="BE40" i="1"/>
  <c r="BD40" i="1"/>
  <c r="BC40" i="1"/>
  <c r="BF39" i="1"/>
  <c r="BE39" i="1"/>
  <c r="BD39" i="1"/>
  <c r="BC39" i="1"/>
  <c r="BF38" i="1"/>
  <c r="BE38" i="1"/>
  <c r="BD38" i="1"/>
  <c r="BC38" i="1"/>
  <c r="BF37" i="1"/>
  <c r="BE37" i="1"/>
  <c r="BD37" i="1"/>
  <c r="BC37" i="1"/>
  <c r="BF36" i="1"/>
  <c r="BE36" i="1"/>
  <c r="BD36" i="1"/>
  <c r="BC36" i="1"/>
  <c r="BF35" i="1"/>
  <c r="BE35" i="1"/>
  <c r="BD35" i="1"/>
  <c r="BC35" i="1"/>
  <c r="BF34" i="1"/>
  <c r="BE34" i="1"/>
  <c r="BD34" i="1"/>
  <c r="BC34" i="1"/>
  <c r="BF33" i="1"/>
  <c r="BE33" i="1"/>
  <c r="BD33" i="1"/>
  <c r="BC33" i="1"/>
  <c r="BF32" i="1"/>
  <c r="BE32" i="1"/>
  <c r="BD32" i="1"/>
  <c r="BC32" i="1"/>
  <c r="BF31" i="1"/>
  <c r="BE31" i="1"/>
  <c r="BD31" i="1"/>
  <c r="BC31" i="1"/>
  <c r="BF30" i="1"/>
  <c r="BE30" i="1"/>
  <c r="BD30" i="1"/>
  <c r="BC30" i="1"/>
  <c r="BF29" i="1"/>
  <c r="BE29" i="1"/>
  <c r="BD29" i="1"/>
  <c r="BC29" i="1"/>
  <c r="BF28" i="1"/>
  <c r="BE28" i="1"/>
  <c r="BD28" i="1"/>
  <c r="BC28" i="1"/>
  <c r="BF27" i="1"/>
  <c r="BE27" i="1"/>
  <c r="BD27" i="1"/>
  <c r="BC27" i="1"/>
  <c r="BF26" i="1"/>
  <c r="BE26" i="1"/>
  <c r="BD26" i="1"/>
  <c r="BC26" i="1"/>
  <c r="BF25" i="1"/>
  <c r="BE25" i="1"/>
  <c r="BD25" i="1"/>
  <c r="BC25" i="1"/>
  <c r="BF24" i="1"/>
  <c r="BE24" i="1"/>
  <c r="BD24" i="1"/>
  <c r="BC24" i="1"/>
  <c r="BF23" i="1"/>
  <c r="BE23" i="1"/>
  <c r="BD23" i="1"/>
  <c r="BC23" i="1"/>
  <c r="BF22" i="1"/>
  <c r="BE22" i="1"/>
  <c r="BD22" i="1"/>
  <c r="BC22" i="1"/>
  <c r="BF21" i="1"/>
  <c r="BE21" i="1"/>
  <c r="BD21" i="1"/>
  <c r="BC21" i="1"/>
  <c r="BF20" i="1"/>
  <c r="BE20" i="1"/>
  <c r="BD20" i="1"/>
  <c r="BC20" i="1"/>
  <c r="BF19" i="1"/>
  <c r="BE19" i="1"/>
  <c r="BD19" i="1"/>
  <c r="BC19" i="1"/>
  <c r="BF18" i="1"/>
  <c r="BE18" i="1"/>
  <c r="BD18" i="1"/>
  <c r="BC18" i="1"/>
  <c r="BF17" i="1"/>
  <c r="BE17" i="1"/>
  <c r="BD17" i="1"/>
  <c r="BC17" i="1"/>
  <c r="BF16" i="1"/>
  <c r="BE16" i="1"/>
  <c r="BD16" i="1"/>
  <c r="BC16" i="1"/>
  <c r="BF15" i="1"/>
  <c r="BE15" i="1"/>
  <c r="BD15" i="1"/>
  <c r="BC15" i="1"/>
  <c r="BF14" i="1"/>
  <c r="BE14" i="1"/>
  <c r="BD14" i="1"/>
  <c r="BC14" i="1"/>
  <c r="BF13" i="1"/>
  <c r="BE13" i="1"/>
  <c r="BD13" i="1"/>
  <c r="BC13" i="1"/>
  <c r="BF12" i="1"/>
  <c r="BE12" i="1"/>
  <c r="BD12" i="1"/>
  <c r="BC12" i="1"/>
  <c r="BF11" i="1"/>
  <c r="BE11" i="1"/>
  <c r="BD11" i="1"/>
  <c r="BC11" i="1"/>
  <c r="BF10" i="1"/>
  <c r="BE10" i="1"/>
  <c r="BD10" i="1"/>
  <c r="BC10" i="1"/>
  <c r="BF9" i="1"/>
  <c r="BE9" i="1"/>
  <c r="BD9" i="1"/>
  <c r="BC9" i="1"/>
  <c r="BF8" i="1"/>
  <c r="BE8" i="1"/>
  <c r="BD8" i="1"/>
  <c r="BC8" i="1"/>
  <c r="BF7" i="1"/>
  <c r="BE7" i="1"/>
  <c r="BD7" i="1"/>
  <c r="BC7" i="1"/>
  <c r="BF6" i="1"/>
  <c r="BE6" i="1"/>
  <c r="BD6" i="1"/>
  <c r="BC6" i="1"/>
  <c r="BF5" i="1"/>
  <c r="BE5" i="1"/>
  <c r="BD5" i="1"/>
  <c r="BC5" i="1"/>
  <c r="BF4" i="1"/>
  <c r="BE4" i="1"/>
  <c r="BD4" i="1"/>
  <c r="BC4" i="1"/>
  <c r="BF3" i="1"/>
  <c r="BE3" i="1"/>
  <c r="BD3" i="1"/>
  <c r="BC3" i="1"/>
  <c r="BF2" i="1"/>
  <c r="BE2" i="1"/>
  <c r="BD2" i="1"/>
  <c r="BC2" i="1"/>
  <c r="AV111" i="1" l="1"/>
  <c r="AU111" i="1"/>
  <c r="AT111" i="1"/>
  <c r="AS111" i="1"/>
  <c r="AV110" i="1"/>
  <c r="AU110" i="1"/>
  <c r="AT110" i="1"/>
  <c r="AS110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1" i="1"/>
  <c r="B1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0BBA13-DFA5-744B-94FC-E78F103403D2}" name="Aff_to_targets_Mar2022" type="6" refreshedVersion="6" background="1" saveData="1">
    <textPr sourceFile="/Users/marthabagnall/Marfa/Manuscripts/Connectome paper/all analysis data/Aff_to_targets_Mar2022.csv" comma="1">
      <textFields count="4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<sst xmlns="http://schemas.openxmlformats.org/spreadsheetml/2006/main" count="164" uniqueCount="164">
  <si>
    <t>Ear_AnteriorMacula_R_01</t>
  </si>
  <si>
    <t>Ear_AnteriorMacula_R_02</t>
  </si>
  <si>
    <t>Ear_AnteriorMacula_R_03</t>
  </si>
  <si>
    <t>Ear_AnteriorMacula_R_04</t>
  </si>
  <si>
    <t>Ear_AnteriorMacula_R_05</t>
  </si>
  <si>
    <t>Ear_AnteriorMacula_R_06</t>
  </si>
  <si>
    <t>Ear_AnteriorMacula_R_07</t>
  </si>
  <si>
    <t>Ear_AnteriorMacula_R_08</t>
  </si>
  <si>
    <t>Ear_AnteriorMacula_R_09</t>
  </si>
  <si>
    <t>Ear_AnteriorMacula_R_10</t>
  </si>
  <si>
    <t>Ear_AnteriorMacula_R_11</t>
  </si>
  <si>
    <t>Ear_AnteriorMacula_R_12</t>
  </si>
  <si>
    <t>Ear_AnteriorMacula_R_13</t>
  </si>
  <si>
    <t>Ear_AnteriorMacula_R_14</t>
  </si>
  <si>
    <t>Ear_AnteriorMacula_R_15</t>
  </si>
  <si>
    <t>Ear_AnteriorMacula_R_16</t>
  </si>
  <si>
    <t>ear_anteriormacula_R_17</t>
  </si>
  <si>
    <t>ear_anteriormacula_R_unmyelinated01</t>
  </si>
  <si>
    <t>ear_anteriormacula_R_unmyelinated02</t>
  </si>
  <si>
    <t>ear_anteriormacula_R_unmyelinated03</t>
  </si>
  <si>
    <t>ear_anteriormacula_R_unmyelinated04</t>
  </si>
  <si>
    <t>ear_anteriormacula_R_unmyelinated05</t>
  </si>
  <si>
    <t>ear_anteriormacula_R_unmyelinated06</t>
  </si>
  <si>
    <t>ear_anteriormacula_R_unmyelinated07</t>
  </si>
  <si>
    <t>ear_anteriormacula_R_unmyelinated08</t>
  </si>
  <si>
    <t>ear_anteriormacula_R_unmyelinated09</t>
  </si>
  <si>
    <t>ear_anteriormacula_R_unmyelinated10</t>
  </si>
  <si>
    <t>ear_anteriormacula_R_unmyelinated11</t>
  </si>
  <si>
    <t>ear_anteriormacula_R_unmyelinated12</t>
  </si>
  <si>
    <t>ear_anteriormacula_R_unmyelinated13</t>
  </si>
  <si>
    <t>ear_anteriormacula_R_unmyelinated14</t>
  </si>
  <si>
    <t>ear_anteriormacula_R_unmyelinated15</t>
  </si>
  <si>
    <t>ear_anteriormacula_R_unmyelinated16</t>
  </si>
  <si>
    <t>ear_anteriormacula_R_unmyelinated17</t>
  </si>
  <si>
    <t>ear_anteriormacula_R_unmyelinated18</t>
  </si>
  <si>
    <t>ear_anteriormacula_R_unmyelinated19</t>
  </si>
  <si>
    <t>ear_anteriormacula_R_unmyelinated20</t>
  </si>
  <si>
    <t>ear_anteriormacula_R_unmyelinated21</t>
  </si>
  <si>
    <t>ear_anteriormacula_R_unmyelinated22</t>
  </si>
  <si>
    <t>ear_anteriormacula_R_unmyelinated23</t>
  </si>
  <si>
    <t>ear_anteriormacula_R_unmyelinated24</t>
  </si>
  <si>
    <t>ear_anteriormacula_R_unmyelinated25</t>
  </si>
  <si>
    <t>ear_anteriormacula_R_unmyelinated26</t>
  </si>
  <si>
    <t>ear_anteriormacula_R_unmyelinated27</t>
  </si>
  <si>
    <t>ear_anteriormacula_R_unmyelinated28</t>
  </si>
  <si>
    <t>ear_anteriormacula_R_unmyelinated29</t>
  </si>
  <si>
    <t>ear_anteriormacula_R_unmyelinated30</t>
  </si>
  <si>
    <t>ear_anteriormacula_R_unmyelinated31</t>
  </si>
  <si>
    <t>ear_anteriormacula_R_unmyelinated32</t>
  </si>
  <si>
    <t>ear_anteriormacula_R_unmyelinated33</t>
  </si>
  <si>
    <t>ear_anteriormacula_R_unmyelinated34</t>
  </si>
  <si>
    <t>ear_anteriormacula_R_unmyelinated35</t>
  </si>
  <si>
    <t>ear_anteriormacula_R_unmyelinated36</t>
  </si>
  <si>
    <t>ear_anteriormacula_R_unmyelinated37</t>
  </si>
  <si>
    <t>ear_anteriormacula_R_unmyelinated38</t>
  </si>
  <si>
    <t>ear_anteriormacula_R_unmyelinated39</t>
  </si>
  <si>
    <t>ear_anteriormacula_R_unmyelinated40</t>
  </si>
  <si>
    <t>ear_anteriormacula_R_unmyelinated41</t>
  </si>
  <si>
    <t>ear_anteriormacula_R_unmyelinated42</t>
  </si>
  <si>
    <t>ear_anteriormacula_R_unmyelinated43</t>
  </si>
  <si>
    <t>ear_anteriormacula_R_unmyelinated44</t>
  </si>
  <si>
    <t>ear_anteriormacula_R_unmyelinated45</t>
  </si>
  <si>
    <t>ear_anteriormacula_R_unmyelinated46</t>
  </si>
  <si>
    <t>ear_anteriormacula_R_unmyelinated47</t>
  </si>
  <si>
    <t>ear_anteriormacula_R_unmyelinated48</t>
  </si>
  <si>
    <t>ear_anteriormacula_R_unmyelinated49</t>
  </si>
  <si>
    <t>ear_anteriormacula_R_unmyelinated50</t>
  </si>
  <si>
    <t>ear_anteriormacula_R_unmyelinated51</t>
  </si>
  <si>
    <t>ear_anteriormacula_R_unmyelinated52</t>
  </si>
  <si>
    <t>ear_anteriormacula_R_unmyelinated53</t>
  </si>
  <si>
    <t>ear_anteriormacula_R_unmyelinated54</t>
  </si>
  <si>
    <t>ear_anteriormacula_R_unmyelinated55</t>
  </si>
  <si>
    <t>ear_anteriormacula_R_unmyelinated56</t>
  </si>
  <si>
    <t>ear_anteriormacula_R_unmyelinated57</t>
  </si>
  <si>
    <t>ear_anteriormacula_R_unmyelinated58</t>
  </si>
  <si>
    <t>ear_anteriormacula_R_unmyelinated59</t>
  </si>
  <si>
    <t>ear_anteriormacula_R_unmyelinated60</t>
  </si>
  <si>
    <t>ear_anteriormacula_R_unmyelinated61</t>
  </si>
  <si>
    <t>ear_anteriormacula_R_unmyelinated62</t>
  </si>
  <si>
    <t>ear_anteriormacula_R_unmyelinated63</t>
  </si>
  <si>
    <t>ear_anteriormacula_R_unmyelinated64</t>
  </si>
  <si>
    <t>ear_anteriormacula_R_unmyelinated65</t>
  </si>
  <si>
    <t>ear_anteriormacula_R_unmyelinated66</t>
  </si>
  <si>
    <t>ear_anteriormacula_R_unmyelinated67</t>
  </si>
  <si>
    <t>ear_anteriormacula_R_unmyelinated68</t>
  </si>
  <si>
    <t>ear_anteriormacula_R_unmyelinated69</t>
  </si>
  <si>
    <t>ear_anteriormacula_R_unmyelinated70</t>
  </si>
  <si>
    <t>ear_anteriormacula_R_unmyelinated71</t>
  </si>
  <si>
    <t>ear_anteriormacula_R_unmyelinated72</t>
  </si>
  <si>
    <t>ear_anteriormacula_R_unmyelinated73</t>
  </si>
  <si>
    <t>ear_anteriormacula_R_unmyelinated74</t>
  </si>
  <si>
    <t>ear_anteriormacula_R_unmyelinated75</t>
  </si>
  <si>
    <t>ear_anteriormacula_R_unmyelinated76</t>
  </si>
  <si>
    <t>ear_anteriormacula_R_unmyelinated77</t>
  </si>
  <si>
    <t>ear_anteriormacula_R_unmyelinated78</t>
  </si>
  <si>
    <t>ear_anteriormacula_R_unmyelinated79</t>
  </si>
  <si>
    <t>ear_anteriormacula_R_unmyelinated80</t>
  </si>
  <si>
    <t>ear_anteriormacula_R_unmyelinated81</t>
  </si>
  <si>
    <t>ear_anteriormacula_R_unmyelinated82</t>
  </si>
  <si>
    <t>ear_anteriormacula_R_unmyelinated83</t>
  </si>
  <si>
    <t>ear_anteriormacula_R_unmyelinated84</t>
  </si>
  <si>
    <t>ear_anteriormacula_R_unmyelinated85</t>
  </si>
  <si>
    <t>ear_anteriormacula_R_unmyelinated86</t>
  </si>
  <si>
    <t>ear_anteriormacula_R_unmyelinated87</t>
  </si>
  <si>
    <t>ear_anteriormacula_R_unmyelinated88</t>
  </si>
  <si>
    <t>ear_anteriormacula_R_unmyelinated89</t>
  </si>
  <si>
    <t xml:space="preserve"> Mauthner_R</t>
  </si>
  <si>
    <t xml:space="preserve"> SuperiorVN_R_01</t>
  </si>
  <si>
    <t xml:space="preserve"> SuperiorVN_R_02</t>
  </si>
  <si>
    <t xml:space="preserve"> SuperiorVN_R_03</t>
  </si>
  <si>
    <t xml:space="preserve"> SuperiorVN_R_04</t>
  </si>
  <si>
    <t xml:space="preserve"> SuperiorVN_R_05</t>
  </si>
  <si>
    <t xml:space="preserve"> SuperiorVN_R_06</t>
  </si>
  <si>
    <t xml:space="preserve"> SuperiorVN_R_07</t>
  </si>
  <si>
    <t xml:space="preserve"> SuperiorVN_R_08</t>
  </si>
  <si>
    <t xml:space="preserve"> SuperiorVN_R_09</t>
  </si>
  <si>
    <t xml:space="preserve"> SuperiorVN_R_10</t>
  </si>
  <si>
    <t xml:space="preserve"> SuperiorVN_R_11</t>
  </si>
  <si>
    <t xml:space="preserve"> SuperiorVN_R_12</t>
  </si>
  <si>
    <t xml:space="preserve"> tangential_nucleus_R_01</t>
  </si>
  <si>
    <t xml:space="preserve"> tangential_nucleus_R_02</t>
  </si>
  <si>
    <t xml:space="preserve"> tangential_nucleus_R_03</t>
  </si>
  <si>
    <t xml:space="preserve"> tangential_nucleus_R_04</t>
  </si>
  <si>
    <t xml:space="preserve"> tangential_nucleus_R_05</t>
  </si>
  <si>
    <t xml:space="preserve"> tangential_nucleus_R_06</t>
  </si>
  <si>
    <t xml:space="preserve"> tangential_nucleus_R_07</t>
  </si>
  <si>
    <t xml:space="preserve"> tangential_nucleus_R_09</t>
  </si>
  <si>
    <t xml:space="preserve"> tangential_nucleus_R_10</t>
  </si>
  <si>
    <t xml:space="preserve"> tangential_nucleus_R_11</t>
  </si>
  <si>
    <t xml:space="preserve"> tangential_nucleus_R_12</t>
  </si>
  <si>
    <t xml:space="preserve"> vestibular_commissural_R_01</t>
  </si>
  <si>
    <t xml:space="preserve"> vestibular_commissural_R_02</t>
  </si>
  <si>
    <t xml:space="preserve"> vestibular_commissural_R_03</t>
  </si>
  <si>
    <t xml:space="preserve"> vestibular_commissural_R_04</t>
  </si>
  <si>
    <t xml:space="preserve"> VS_R_01</t>
  </si>
  <si>
    <t xml:space="preserve"> VS_R_02</t>
  </si>
  <si>
    <t xml:space="preserve"> VS_R_03</t>
  </si>
  <si>
    <t xml:space="preserve"> VS_R_04</t>
  </si>
  <si>
    <t xml:space="preserve"> VS_R_05</t>
  </si>
  <si>
    <t xml:space="preserve"> VS_R_06</t>
  </si>
  <si>
    <t xml:space="preserve"> VS_R_07</t>
  </si>
  <si>
    <t xml:space="preserve"> VS_R_08</t>
  </si>
  <si>
    <t xml:space="preserve"> VS_R_09</t>
  </si>
  <si>
    <t xml:space="preserve"> VS_R_10</t>
  </si>
  <si>
    <t xml:space="preserve"> VS_R_11</t>
  </si>
  <si>
    <t xml:space="preserve"> VS_R_12</t>
  </si>
  <si>
    <t xml:space="preserve"> VS_R_13</t>
  </si>
  <si>
    <t xml:space="preserve"> VS_R_14</t>
  </si>
  <si>
    <t xml:space="preserve"> VS_R_15</t>
  </si>
  <si>
    <t>Total afferent synapses</t>
  </si>
  <si>
    <t>Distinct afferent inputs</t>
  </si>
  <si>
    <t>Computed afferent tuning</t>
  </si>
  <si>
    <t>Values of computed afferent tuning are in radians</t>
  </si>
  <si>
    <t>Pi/2 = maximally sensitive to rostral tilt</t>
  </si>
  <si>
    <t>0 = maximally sensitive to rightward (ipsilateral) tilt</t>
  </si>
  <si>
    <t>This afferent could not be traced back to a soma and is therefore excluded from all analysis</t>
  </si>
  <si>
    <t xml:space="preserve"> VS_R_16</t>
  </si>
  <si>
    <t xml:space="preserve"> VS_R_17</t>
  </si>
  <si>
    <t xml:space="preserve"> VS_R_18</t>
  </si>
  <si>
    <t xml:space="preserve"> VS_R_19</t>
  </si>
  <si>
    <t>All Escape (Mauthner plus commissural)</t>
  </si>
  <si>
    <t>All Tangential</t>
  </si>
  <si>
    <t>All SVN</t>
  </si>
  <si>
    <t>All Vestibulospinal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</si>
</sst>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180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ff_to_targets_Mar2022" connectionId="1" xr16:uid="{7C6C8087-48A0-974C-80D7-2972877BDA0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360F-AD08-7F42-9389-125FCE55EE72}">
  <dimension ref="A1:BF111"/>
  <sheetViews>
    <sheetView tabSelected="1" workbookViewId="0">
      <pane xSplit="4580" topLeftCell="B1" activePane="topRight"/>
      <selection activeCell="U134" sqref="A116:XFD134"/>
      <selection pane="topRight" activeCell="BA98" sqref="BA98"/>
    </sheetView>
  </sheetViews>
  <sheetFormatPr baseColWidth="10" defaultRowHeight="16" x14ac:dyDescent="0.2"/>
  <cols>
    <col min="1" max="1" width="34.33203125" bestFit="1" customWidth="1"/>
    <col min="2" max="44" width="6.1640625" customWidth="1"/>
    <col min="45" max="48" width="6.83203125" customWidth="1"/>
  </cols>
  <sheetData>
    <row r="1" spans="1:58" s="1" customFormat="1" ht="209" x14ac:dyDescent="0.2"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156</v>
      </c>
      <c r="AT1" s="1" t="s">
        <v>157</v>
      </c>
      <c r="AU1" s="1" t="s">
        <v>158</v>
      </c>
      <c r="AV1" s="1" t="s">
        <v>159</v>
      </c>
      <c r="AX1" s="1" t="s">
        <v>151</v>
      </c>
      <c r="BC1" s="1" t="s">
        <v>160</v>
      </c>
      <c r="BD1" s="1" t="s">
        <v>161</v>
      </c>
      <c r="BE1" s="1" t="s">
        <v>162</v>
      </c>
      <c r="BF1" s="1" t="s">
        <v>163</v>
      </c>
    </row>
    <row r="2" spans="1:58" x14ac:dyDescent="0.2">
      <c r="A2" t="s">
        <v>0</v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2</v>
      </c>
      <c r="R2">
        <v>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</v>
      </c>
      <c r="AI2">
        <v>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2</v>
      </c>
      <c r="AT2">
        <v>0</v>
      </c>
      <c r="AU2">
        <v>0</v>
      </c>
      <c r="AV2">
        <v>0</v>
      </c>
      <c r="AX2">
        <v>5.9736399999999996</v>
      </c>
      <c r="AY2" t="s">
        <v>152</v>
      </c>
      <c r="BC2">
        <f>SUM(B2,Z2,AA2,AB2,AC2)</f>
        <v>7</v>
      </c>
      <c r="BD2">
        <f>SUM(O2:Y2)</f>
        <v>6</v>
      </c>
      <c r="BE2">
        <f>SUM(C2:N2)</f>
        <v>3</v>
      </c>
      <c r="BF2">
        <f>SUM(AD2:AV2)</f>
        <v>7</v>
      </c>
    </row>
    <row r="3" spans="1:58" x14ac:dyDescent="0.2">
      <c r="A3" t="s">
        <v>1</v>
      </c>
      <c r="B3">
        <v>1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2</v>
      </c>
      <c r="AI3">
        <v>0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6</v>
      </c>
      <c r="AR3">
        <v>4</v>
      </c>
      <c r="AS3">
        <v>0</v>
      </c>
      <c r="AT3">
        <v>0</v>
      </c>
      <c r="AU3">
        <v>0</v>
      </c>
      <c r="AV3">
        <v>0</v>
      </c>
      <c r="AX3">
        <v>6.0645899999999999</v>
      </c>
      <c r="AY3" t="s">
        <v>154</v>
      </c>
      <c r="BC3">
        <f t="shared" ref="BC3:BC66" si="0">SUM(B3,Z3,AA3,AB3,AC3)</f>
        <v>1</v>
      </c>
      <c r="BD3">
        <f t="shared" ref="BD3:BD66" si="1">SUM(O3:Y3)</f>
        <v>3</v>
      </c>
      <c r="BE3">
        <f t="shared" ref="BE3:BE66" si="2">SUM(C3:N3)</f>
        <v>6</v>
      </c>
      <c r="BF3">
        <f t="shared" ref="BF3:BF66" si="3">SUM(AD3:AV3)</f>
        <v>16</v>
      </c>
    </row>
    <row r="4" spans="1:58" x14ac:dyDescent="0.2">
      <c r="A4" t="s">
        <v>2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X4">
        <v>6.0457700000000001</v>
      </c>
      <c r="AY4" t="s">
        <v>153</v>
      </c>
      <c r="BC4">
        <f t="shared" si="0"/>
        <v>5</v>
      </c>
      <c r="BD4">
        <f t="shared" si="1"/>
        <v>1</v>
      </c>
      <c r="BE4">
        <f t="shared" si="2"/>
        <v>1</v>
      </c>
      <c r="BF4">
        <f t="shared" si="3"/>
        <v>3</v>
      </c>
    </row>
    <row r="5" spans="1:58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X5">
        <v>5.8922600000000003</v>
      </c>
      <c r="BC5">
        <f t="shared" si="0"/>
        <v>0</v>
      </c>
      <c r="BD5">
        <f t="shared" si="1"/>
        <v>5</v>
      </c>
      <c r="BE5">
        <f t="shared" si="2"/>
        <v>3</v>
      </c>
      <c r="BF5">
        <f t="shared" si="3"/>
        <v>0</v>
      </c>
    </row>
    <row r="6" spans="1:58" x14ac:dyDescent="0.2">
      <c r="A6" t="s">
        <v>4</v>
      </c>
      <c r="B6">
        <v>2</v>
      </c>
      <c r="C6">
        <v>0</v>
      </c>
      <c r="D6">
        <v>1</v>
      </c>
      <c r="E6">
        <v>0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>
        <v>2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  <c r="AG6">
        <v>0</v>
      </c>
      <c r="AH6">
        <v>1</v>
      </c>
      <c r="AI6">
        <v>1</v>
      </c>
      <c r="AJ6">
        <v>2</v>
      </c>
      <c r="AK6">
        <v>1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2</v>
      </c>
      <c r="AU6">
        <v>1</v>
      </c>
      <c r="AV6">
        <v>2</v>
      </c>
      <c r="AX6">
        <v>0.16969200000000001</v>
      </c>
      <c r="BC6">
        <f t="shared" si="0"/>
        <v>2</v>
      </c>
      <c r="BD6">
        <f t="shared" si="1"/>
        <v>1</v>
      </c>
      <c r="BE6">
        <f t="shared" si="2"/>
        <v>11</v>
      </c>
      <c r="BF6">
        <f t="shared" si="3"/>
        <v>14</v>
      </c>
    </row>
    <row r="7" spans="1:58" x14ac:dyDescent="0.2">
      <c r="A7" t="s">
        <v>5</v>
      </c>
      <c r="B7">
        <v>7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1</v>
      </c>
      <c r="AJ7">
        <v>1</v>
      </c>
      <c r="AK7">
        <v>1</v>
      </c>
      <c r="AL7">
        <v>0</v>
      </c>
      <c r="AM7">
        <v>2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1</v>
      </c>
      <c r="AV7">
        <v>0</v>
      </c>
      <c r="AX7">
        <v>0.48839100000000002</v>
      </c>
      <c r="BC7">
        <f t="shared" si="0"/>
        <v>7</v>
      </c>
      <c r="BD7">
        <f t="shared" si="1"/>
        <v>3</v>
      </c>
      <c r="BE7">
        <f t="shared" si="2"/>
        <v>1</v>
      </c>
      <c r="BF7">
        <f t="shared" si="3"/>
        <v>10</v>
      </c>
    </row>
    <row r="8" spans="1:58" x14ac:dyDescent="0.2">
      <c r="A8" t="s">
        <v>6</v>
      </c>
      <c r="B8">
        <v>2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1</v>
      </c>
      <c r="AK8">
        <v>0</v>
      </c>
      <c r="AL8">
        <v>2</v>
      </c>
      <c r="AM8">
        <v>3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X8">
        <v>0.78980700000000004</v>
      </c>
      <c r="BC8">
        <f t="shared" si="0"/>
        <v>2</v>
      </c>
      <c r="BD8">
        <f t="shared" si="1"/>
        <v>1</v>
      </c>
      <c r="BE8">
        <f t="shared" si="2"/>
        <v>2</v>
      </c>
      <c r="BF8">
        <f t="shared" si="3"/>
        <v>8</v>
      </c>
    </row>
    <row r="9" spans="1:58" x14ac:dyDescent="0.2">
      <c r="A9" t="s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2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4</v>
      </c>
      <c r="AM9">
        <v>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X9">
        <v>1.33985</v>
      </c>
      <c r="BC9">
        <f t="shared" si="0"/>
        <v>1</v>
      </c>
      <c r="BD9">
        <f t="shared" si="1"/>
        <v>2</v>
      </c>
      <c r="BE9">
        <f t="shared" si="2"/>
        <v>0</v>
      </c>
      <c r="BF9">
        <f t="shared" si="3"/>
        <v>11</v>
      </c>
    </row>
    <row r="10" spans="1:58" x14ac:dyDescent="0.2">
      <c r="A10" t="s">
        <v>8</v>
      </c>
      <c r="B10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0</v>
      </c>
      <c r="M10">
        <v>0</v>
      </c>
      <c r="N10">
        <v>0</v>
      </c>
      <c r="O10">
        <v>1</v>
      </c>
      <c r="P10">
        <v>0</v>
      </c>
      <c r="Q10">
        <v>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5</v>
      </c>
      <c r="AS10">
        <v>0</v>
      </c>
      <c r="AT10">
        <v>0</v>
      </c>
      <c r="AU10">
        <v>0</v>
      </c>
      <c r="AV10">
        <v>0</v>
      </c>
      <c r="AX10">
        <v>6.0100199999999999</v>
      </c>
      <c r="BC10">
        <f t="shared" si="0"/>
        <v>3</v>
      </c>
      <c r="BD10">
        <f t="shared" si="1"/>
        <v>5</v>
      </c>
      <c r="BE10">
        <f t="shared" si="2"/>
        <v>3</v>
      </c>
      <c r="BF10">
        <f t="shared" si="3"/>
        <v>6</v>
      </c>
    </row>
    <row r="11" spans="1:58" x14ac:dyDescent="0.2">
      <c r="A11" t="s">
        <v>9</v>
      </c>
      <c r="B11">
        <v>3</v>
      </c>
      <c r="C11">
        <v>3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</v>
      </c>
      <c r="AM11">
        <v>2</v>
      </c>
      <c r="AN11">
        <v>0</v>
      </c>
      <c r="AO11">
        <v>0</v>
      </c>
      <c r="AP11">
        <v>0</v>
      </c>
      <c r="AQ11">
        <v>2</v>
      </c>
      <c r="AR11">
        <v>1</v>
      </c>
      <c r="AS11">
        <v>0</v>
      </c>
      <c r="AT11">
        <v>0</v>
      </c>
      <c r="AU11">
        <v>0</v>
      </c>
      <c r="AV11">
        <v>0</v>
      </c>
      <c r="AX11">
        <v>1.1767300000000001</v>
      </c>
      <c r="BC11">
        <f t="shared" si="0"/>
        <v>3</v>
      </c>
      <c r="BD11">
        <f t="shared" si="1"/>
        <v>0</v>
      </c>
      <c r="BE11">
        <f t="shared" si="2"/>
        <v>4</v>
      </c>
      <c r="BF11">
        <f t="shared" si="3"/>
        <v>8</v>
      </c>
    </row>
    <row r="12" spans="1:58" x14ac:dyDescent="0.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4</v>
      </c>
      <c r="AA12">
        <v>2</v>
      </c>
      <c r="AB12">
        <v>0</v>
      </c>
      <c r="AC12">
        <v>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4.1649599999999998</v>
      </c>
      <c r="BC12">
        <f t="shared" si="0"/>
        <v>14</v>
      </c>
      <c r="BD12">
        <f t="shared" si="1"/>
        <v>0</v>
      </c>
      <c r="BE12">
        <f t="shared" si="2"/>
        <v>0</v>
      </c>
      <c r="BF12">
        <f t="shared" si="3"/>
        <v>0</v>
      </c>
    </row>
    <row r="13" spans="1:58" x14ac:dyDescent="0.2">
      <c r="A13" t="s">
        <v>11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1</v>
      </c>
      <c r="AG13">
        <v>2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1.57996</v>
      </c>
      <c r="BC13">
        <f t="shared" si="0"/>
        <v>0</v>
      </c>
      <c r="BD13">
        <f t="shared" si="1"/>
        <v>4</v>
      </c>
      <c r="BE13">
        <f t="shared" si="2"/>
        <v>1</v>
      </c>
      <c r="BF13">
        <f t="shared" si="3"/>
        <v>7</v>
      </c>
    </row>
    <row r="14" spans="1:58" x14ac:dyDescent="0.2">
      <c r="A14" t="s">
        <v>12</v>
      </c>
      <c r="B14">
        <v>4</v>
      </c>
      <c r="C14">
        <v>0</v>
      </c>
      <c r="D14">
        <v>4</v>
      </c>
      <c r="E14">
        <v>1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</v>
      </c>
      <c r="AR14">
        <v>5</v>
      </c>
      <c r="AS14">
        <v>0</v>
      </c>
      <c r="AT14">
        <v>0</v>
      </c>
      <c r="AU14">
        <v>0</v>
      </c>
      <c r="AV14">
        <v>0</v>
      </c>
      <c r="AX14">
        <v>0.22187799999999999</v>
      </c>
      <c r="BC14">
        <f t="shared" si="0"/>
        <v>4</v>
      </c>
      <c r="BD14">
        <f t="shared" si="1"/>
        <v>1</v>
      </c>
      <c r="BE14">
        <f t="shared" si="2"/>
        <v>7</v>
      </c>
      <c r="BF14">
        <f t="shared" si="3"/>
        <v>10</v>
      </c>
    </row>
    <row r="15" spans="1:58" x14ac:dyDescent="0.2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3.05647</v>
      </c>
      <c r="BC15">
        <f t="shared" si="0"/>
        <v>3</v>
      </c>
      <c r="BD15">
        <f t="shared" si="1"/>
        <v>0</v>
      </c>
      <c r="BE15">
        <f t="shared" si="2"/>
        <v>0</v>
      </c>
      <c r="BF15">
        <f t="shared" si="3"/>
        <v>0</v>
      </c>
    </row>
    <row r="16" spans="1:58" x14ac:dyDescent="0.2">
      <c r="A16" t="s">
        <v>14</v>
      </c>
      <c r="B16">
        <v>2</v>
      </c>
      <c r="C16">
        <v>2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3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6</v>
      </c>
      <c r="AR16">
        <v>0</v>
      </c>
      <c r="AS16">
        <v>0</v>
      </c>
      <c r="AT16">
        <v>0</v>
      </c>
      <c r="AU16">
        <v>0</v>
      </c>
      <c r="AV16">
        <v>0</v>
      </c>
      <c r="AX16">
        <v>0.89690999999999999</v>
      </c>
      <c r="BC16">
        <f t="shared" si="0"/>
        <v>2</v>
      </c>
      <c r="BD16">
        <f t="shared" si="1"/>
        <v>2</v>
      </c>
      <c r="BE16">
        <f t="shared" si="2"/>
        <v>6</v>
      </c>
      <c r="BF16">
        <f t="shared" si="3"/>
        <v>13</v>
      </c>
    </row>
    <row r="17" spans="1:58" x14ac:dyDescent="0.2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X17">
        <v>4.1562200000000002</v>
      </c>
      <c r="BC17">
        <f t="shared" si="0"/>
        <v>1</v>
      </c>
      <c r="BD17">
        <f t="shared" si="1"/>
        <v>0</v>
      </c>
      <c r="BE17">
        <f t="shared" si="2"/>
        <v>0</v>
      </c>
      <c r="BF17">
        <f t="shared" si="3"/>
        <v>0</v>
      </c>
    </row>
    <row r="18" spans="1:58" x14ac:dyDescent="0.2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X18">
        <v>1.2776799999999999</v>
      </c>
      <c r="BC18">
        <f t="shared" si="0"/>
        <v>0</v>
      </c>
      <c r="BD18">
        <f t="shared" si="1"/>
        <v>1</v>
      </c>
      <c r="BE18">
        <f t="shared" si="2"/>
        <v>0</v>
      </c>
      <c r="BF18">
        <f t="shared" si="3"/>
        <v>7</v>
      </c>
    </row>
    <row r="19" spans="1:58" x14ac:dyDescent="0.2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X19">
        <v>5.9374399999999996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2</v>
      </c>
    </row>
    <row r="20" spans="1:58" x14ac:dyDescent="0.2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X20">
        <v>6.1327299999999996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1</v>
      </c>
    </row>
    <row r="21" spans="1:58" x14ac:dyDescent="0.2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6.1825200000000002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</row>
    <row r="22" spans="1:58" x14ac:dyDescent="0.2">
      <c r="A22" t="s">
        <v>20</v>
      </c>
      <c r="B22">
        <v>0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0.41872399999999999</v>
      </c>
      <c r="BC22">
        <f t="shared" si="0"/>
        <v>0</v>
      </c>
      <c r="BD22">
        <f t="shared" si="1"/>
        <v>0</v>
      </c>
      <c r="BE22">
        <f t="shared" si="2"/>
        <v>3</v>
      </c>
      <c r="BF22">
        <f t="shared" si="3"/>
        <v>1</v>
      </c>
    </row>
    <row r="23" spans="1:58" x14ac:dyDescent="0.2">
      <c r="A23" t="s">
        <v>21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X23">
        <v>0.60116599999999998</v>
      </c>
      <c r="BC23">
        <f t="shared" si="0"/>
        <v>0</v>
      </c>
      <c r="BD23">
        <f t="shared" si="1"/>
        <v>0</v>
      </c>
      <c r="BE23">
        <f t="shared" si="2"/>
        <v>1</v>
      </c>
      <c r="BF23">
        <f t="shared" si="3"/>
        <v>2</v>
      </c>
    </row>
    <row r="24" spans="1:58" x14ac:dyDescent="0.2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0.92716200000000004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3</v>
      </c>
    </row>
    <row r="25" spans="1:58" x14ac:dyDescent="0.2">
      <c r="A25" t="s">
        <v>23</v>
      </c>
      <c r="B25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3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1.01936</v>
      </c>
      <c r="BC25">
        <f t="shared" si="0"/>
        <v>3</v>
      </c>
      <c r="BD25">
        <f t="shared" si="1"/>
        <v>0</v>
      </c>
      <c r="BE25">
        <f t="shared" si="2"/>
        <v>0</v>
      </c>
      <c r="BF25">
        <f t="shared" si="3"/>
        <v>4</v>
      </c>
    </row>
    <row r="26" spans="1:58" x14ac:dyDescent="0.2">
      <c r="A26" t="s">
        <v>24</v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X26">
        <v>5.5639799999999999</v>
      </c>
      <c r="BC26">
        <f t="shared" si="0"/>
        <v>0</v>
      </c>
      <c r="BD26">
        <f t="shared" si="1"/>
        <v>1</v>
      </c>
      <c r="BE26">
        <f t="shared" si="2"/>
        <v>3</v>
      </c>
      <c r="BF26">
        <f t="shared" si="3"/>
        <v>1</v>
      </c>
    </row>
    <row r="27" spans="1:58" x14ac:dyDescent="0.2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X27">
        <v>1.1053299999999999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4</v>
      </c>
    </row>
    <row r="28" spans="1:58" x14ac:dyDescent="0.2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X28">
        <v>1.0819099999999999</v>
      </c>
      <c r="BC28">
        <f t="shared" si="0"/>
        <v>0</v>
      </c>
      <c r="BD28">
        <f t="shared" si="1"/>
        <v>1</v>
      </c>
      <c r="BE28">
        <f t="shared" si="2"/>
        <v>0</v>
      </c>
      <c r="BF28">
        <f t="shared" si="3"/>
        <v>2</v>
      </c>
    </row>
    <row r="29" spans="1:58" x14ac:dyDescent="0.2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X29">
        <v>1.16117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</row>
    <row r="30" spans="1:58" x14ac:dyDescent="0.2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X30">
        <v>5.8376700000000001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</row>
    <row r="31" spans="1:58" x14ac:dyDescent="0.2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X31">
        <v>4.1259699999999997</v>
      </c>
      <c r="BC31">
        <f t="shared" si="0"/>
        <v>2</v>
      </c>
      <c r="BD31">
        <f t="shared" si="1"/>
        <v>0</v>
      </c>
      <c r="BE31">
        <f t="shared" si="2"/>
        <v>0</v>
      </c>
      <c r="BF31">
        <f t="shared" si="3"/>
        <v>0</v>
      </c>
    </row>
    <row r="32" spans="1:58" x14ac:dyDescent="0.2">
      <c r="A32" t="s">
        <v>30</v>
      </c>
      <c r="B32">
        <v>3</v>
      </c>
      <c r="C32">
        <v>0</v>
      </c>
      <c r="D32">
        <v>0</v>
      </c>
      <c r="E32">
        <v>3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X32">
        <v>1.5081599999999999</v>
      </c>
      <c r="BC32">
        <f t="shared" si="0"/>
        <v>3</v>
      </c>
      <c r="BD32">
        <f t="shared" si="1"/>
        <v>0</v>
      </c>
      <c r="BE32">
        <f t="shared" si="2"/>
        <v>5</v>
      </c>
      <c r="BF32">
        <f t="shared" si="3"/>
        <v>5</v>
      </c>
    </row>
    <row r="33" spans="1:58" x14ac:dyDescent="0.2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X33">
        <v>4.1880699999999997</v>
      </c>
      <c r="BC33">
        <f t="shared" si="0"/>
        <v>0</v>
      </c>
      <c r="BD33">
        <f t="shared" si="1"/>
        <v>1</v>
      </c>
      <c r="BE33">
        <f t="shared" si="2"/>
        <v>0</v>
      </c>
      <c r="BF33">
        <f t="shared" si="3"/>
        <v>0</v>
      </c>
    </row>
    <row r="34" spans="1:58" x14ac:dyDescent="0.2">
      <c r="A34" t="s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X34">
        <v>1.6892</v>
      </c>
      <c r="BC34">
        <f t="shared" si="0"/>
        <v>1</v>
      </c>
      <c r="BD34">
        <f t="shared" si="1"/>
        <v>0</v>
      </c>
      <c r="BE34">
        <f t="shared" si="2"/>
        <v>0</v>
      </c>
      <c r="BF34">
        <f t="shared" si="3"/>
        <v>1</v>
      </c>
    </row>
    <row r="35" spans="1:58" x14ac:dyDescent="0.2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>
        <v>4.3687399999999998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</row>
    <row r="36" spans="1:58" x14ac:dyDescent="0.2">
      <c r="A36" t="s">
        <v>34</v>
      </c>
      <c r="B36">
        <v>5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X36">
        <v>0.65934300000000001</v>
      </c>
      <c r="BC36">
        <f t="shared" si="0"/>
        <v>5</v>
      </c>
      <c r="BD36">
        <f t="shared" si="1"/>
        <v>0</v>
      </c>
      <c r="BE36">
        <f t="shared" si="2"/>
        <v>1</v>
      </c>
      <c r="BF36">
        <f t="shared" si="3"/>
        <v>3</v>
      </c>
    </row>
    <row r="37" spans="1:58" x14ac:dyDescent="0.2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X37">
        <v>5.2786099999999996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</row>
    <row r="38" spans="1:58" x14ac:dyDescent="0.2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X38" s="3"/>
      <c r="AY38" t="s">
        <v>155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</row>
    <row r="39" spans="1:58" x14ac:dyDescent="0.2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X39">
        <v>5.3801399999999999</v>
      </c>
      <c r="BC39">
        <f t="shared" si="0"/>
        <v>0</v>
      </c>
      <c r="BD39">
        <f t="shared" si="1"/>
        <v>1</v>
      </c>
      <c r="BE39">
        <f t="shared" si="2"/>
        <v>0</v>
      </c>
      <c r="BF39">
        <f t="shared" si="3"/>
        <v>0</v>
      </c>
    </row>
    <row r="40" spans="1:58" x14ac:dyDescent="0.2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X40">
        <v>5.3860599999999996</v>
      </c>
      <c r="BC40">
        <f t="shared" si="0"/>
        <v>0</v>
      </c>
      <c r="BD40">
        <f t="shared" si="1"/>
        <v>1</v>
      </c>
      <c r="BE40">
        <f t="shared" si="2"/>
        <v>0</v>
      </c>
      <c r="BF40">
        <f t="shared" si="3"/>
        <v>3</v>
      </c>
    </row>
    <row r="41" spans="1:58" x14ac:dyDescent="0.2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X41">
        <v>5.35792</v>
      </c>
      <c r="BC41">
        <f t="shared" si="0"/>
        <v>0</v>
      </c>
      <c r="BD41">
        <f t="shared" si="1"/>
        <v>1</v>
      </c>
      <c r="BE41">
        <f t="shared" si="2"/>
        <v>1</v>
      </c>
      <c r="BF41">
        <f t="shared" si="3"/>
        <v>0</v>
      </c>
    </row>
    <row r="42" spans="1:58" x14ac:dyDescent="0.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X42">
        <v>5.4079600000000001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</row>
    <row r="43" spans="1:58" x14ac:dyDescent="0.2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X43">
        <v>5.8331600000000003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</row>
    <row r="44" spans="1:58" x14ac:dyDescent="0.2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X44">
        <v>5.5886399999999998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</row>
    <row r="45" spans="1:58" x14ac:dyDescent="0.2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X45">
        <v>5.7399899999999997</v>
      </c>
      <c r="BC45">
        <f t="shared" si="0"/>
        <v>0</v>
      </c>
      <c r="BD45">
        <f t="shared" si="1"/>
        <v>5</v>
      </c>
      <c r="BE45">
        <f t="shared" si="2"/>
        <v>0</v>
      </c>
      <c r="BF45">
        <f t="shared" si="3"/>
        <v>0</v>
      </c>
    </row>
    <row r="46" spans="1:58" x14ac:dyDescent="0.2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X46">
        <v>5.7384599999999999</v>
      </c>
      <c r="BC46">
        <f t="shared" si="0"/>
        <v>0</v>
      </c>
      <c r="BD46">
        <f t="shared" si="1"/>
        <v>3</v>
      </c>
      <c r="BE46">
        <f t="shared" si="2"/>
        <v>1</v>
      </c>
      <c r="BF46">
        <f t="shared" si="3"/>
        <v>0</v>
      </c>
    </row>
    <row r="47" spans="1:58" x14ac:dyDescent="0.2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4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X47">
        <v>5.6382099999999999</v>
      </c>
      <c r="BC47">
        <f t="shared" si="0"/>
        <v>0</v>
      </c>
      <c r="BD47">
        <f t="shared" si="1"/>
        <v>4</v>
      </c>
      <c r="BE47">
        <f t="shared" si="2"/>
        <v>6</v>
      </c>
      <c r="BF47">
        <f t="shared" si="3"/>
        <v>0</v>
      </c>
    </row>
    <row r="48" spans="1:58" x14ac:dyDescent="0.2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3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X48">
        <v>5.9187900000000004</v>
      </c>
      <c r="BC48">
        <f t="shared" si="0"/>
        <v>0</v>
      </c>
      <c r="BD48">
        <f t="shared" si="1"/>
        <v>3</v>
      </c>
      <c r="BE48">
        <f t="shared" si="2"/>
        <v>4</v>
      </c>
      <c r="BF48">
        <f t="shared" si="3"/>
        <v>0</v>
      </c>
    </row>
    <row r="49" spans="1:58" x14ac:dyDescent="0.2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X49">
        <v>5.6373300000000004</v>
      </c>
      <c r="BC49">
        <f t="shared" si="0"/>
        <v>0</v>
      </c>
      <c r="BD49">
        <f t="shared" si="1"/>
        <v>3</v>
      </c>
      <c r="BE49">
        <f t="shared" si="2"/>
        <v>0</v>
      </c>
      <c r="BF49">
        <f t="shared" si="3"/>
        <v>0</v>
      </c>
    </row>
    <row r="50" spans="1:58" x14ac:dyDescent="0.2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X50">
        <v>5.4480199999999996</v>
      </c>
      <c r="BC50">
        <f t="shared" si="0"/>
        <v>0</v>
      </c>
      <c r="BD50">
        <f t="shared" si="1"/>
        <v>0</v>
      </c>
      <c r="BE50">
        <f t="shared" si="2"/>
        <v>0</v>
      </c>
      <c r="BF50">
        <f t="shared" si="3"/>
        <v>0</v>
      </c>
    </row>
    <row r="51" spans="1:58" x14ac:dyDescent="0.2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X51">
        <v>5.5743299999999998</v>
      </c>
      <c r="BC51">
        <f t="shared" si="0"/>
        <v>0</v>
      </c>
      <c r="BD51">
        <f t="shared" si="1"/>
        <v>0</v>
      </c>
      <c r="BE51">
        <f t="shared" si="2"/>
        <v>0</v>
      </c>
      <c r="BF51">
        <f t="shared" si="3"/>
        <v>1</v>
      </c>
    </row>
    <row r="52" spans="1:58" x14ac:dyDescent="0.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X52">
        <v>5.6768400000000003</v>
      </c>
      <c r="BC52">
        <f t="shared" si="0"/>
        <v>0</v>
      </c>
      <c r="BD52">
        <f t="shared" si="1"/>
        <v>0</v>
      </c>
      <c r="BE52">
        <f t="shared" si="2"/>
        <v>0</v>
      </c>
      <c r="BF52">
        <f t="shared" si="3"/>
        <v>0</v>
      </c>
    </row>
    <row r="53" spans="1:58" x14ac:dyDescent="0.2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X53">
        <v>5.5986799999999999</v>
      </c>
      <c r="BC53">
        <f t="shared" si="0"/>
        <v>0</v>
      </c>
      <c r="BD53">
        <f t="shared" si="1"/>
        <v>0</v>
      </c>
      <c r="BE53">
        <f t="shared" si="2"/>
        <v>0</v>
      </c>
      <c r="BF53">
        <f t="shared" si="3"/>
        <v>0</v>
      </c>
    </row>
    <row r="54" spans="1:58" x14ac:dyDescent="0.2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X54">
        <v>2.70017</v>
      </c>
      <c r="BC54">
        <f t="shared" si="0"/>
        <v>1</v>
      </c>
      <c r="BD54">
        <f t="shared" si="1"/>
        <v>0</v>
      </c>
      <c r="BE54">
        <f t="shared" si="2"/>
        <v>0</v>
      </c>
      <c r="BF54">
        <f t="shared" si="3"/>
        <v>0</v>
      </c>
    </row>
    <row r="55" spans="1:58" x14ac:dyDescent="0.2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X55">
        <v>5.8273999999999999</v>
      </c>
      <c r="BC55">
        <f t="shared" si="0"/>
        <v>0</v>
      </c>
      <c r="BD55">
        <f t="shared" si="1"/>
        <v>5</v>
      </c>
      <c r="BE55">
        <f t="shared" si="2"/>
        <v>2</v>
      </c>
      <c r="BF55">
        <f t="shared" si="3"/>
        <v>1</v>
      </c>
    </row>
    <row r="56" spans="1:58" x14ac:dyDescent="0.2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X56">
        <v>5.4227800000000004</v>
      </c>
      <c r="BC56">
        <f t="shared" si="0"/>
        <v>0</v>
      </c>
      <c r="BD56">
        <f t="shared" si="1"/>
        <v>4</v>
      </c>
      <c r="BE56">
        <f t="shared" si="2"/>
        <v>2</v>
      </c>
      <c r="BF56">
        <f t="shared" si="3"/>
        <v>0</v>
      </c>
    </row>
    <row r="57" spans="1:58" x14ac:dyDescent="0.2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X57">
        <v>5.6198499999999996</v>
      </c>
      <c r="BC57">
        <f t="shared" si="0"/>
        <v>0</v>
      </c>
      <c r="BD57">
        <f t="shared" si="1"/>
        <v>1</v>
      </c>
      <c r="BE57">
        <f t="shared" si="2"/>
        <v>0</v>
      </c>
      <c r="BF57">
        <f t="shared" si="3"/>
        <v>1</v>
      </c>
    </row>
    <row r="58" spans="1:58" x14ac:dyDescent="0.2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2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X58">
        <v>5.6457100000000002</v>
      </c>
      <c r="BC58">
        <f t="shared" si="0"/>
        <v>0</v>
      </c>
      <c r="BD58">
        <f t="shared" si="1"/>
        <v>4</v>
      </c>
      <c r="BE58">
        <f t="shared" si="2"/>
        <v>0</v>
      </c>
      <c r="BF58">
        <f t="shared" si="3"/>
        <v>1</v>
      </c>
    </row>
    <row r="59" spans="1:58" x14ac:dyDescent="0.2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X59">
        <v>4.8455199999999997E-2</v>
      </c>
      <c r="BC59">
        <f t="shared" si="0"/>
        <v>0</v>
      </c>
      <c r="BD59">
        <f t="shared" si="1"/>
        <v>0</v>
      </c>
      <c r="BE59">
        <f t="shared" si="2"/>
        <v>0</v>
      </c>
      <c r="BF59">
        <f t="shared" si="3"/>
        <v>1</v>
      </c>
    </row>
    <row r="60" spans="1:58" x14ac:dyDescent="0.2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X60">
        <v>6.0260100000000003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4</v>
      </c>
    </row>
    <row r="61" spans="1:58" x14ac:dyDescent="0.2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0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X61">
        <v>6.0291100000000002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4</v>
      </c>
    </row>
    <row r="62" spans="1:58" x14ac:dyDescent="0.2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3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X62">
        <v>0.31664799999999999</v>
      </c>
      <c r="BC62">
        <f t="shared" si="0"/>
        <v>0</v>
      </c>
      <c r="BD62">
        <f t="shared" si="1"/>
        <v>1</v>
      </c>
      <c r="BE62">
        <f t="shared" si="2"/>
        <v>0</v>
      </c>
      <c r="BF62">
        <f t="shared" si="3"/>
        <v>4</v>
      </c>
    </row>
    <row r="63" spans="1:58" x14ac:dyDescent="0.2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X63">
        <v>0.21118400000000001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1</v>
      </c>
    </row>
    <row r="64" spans="1:58" x14ac:dyDescent="0.2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5.8948600000000004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</row>
    <row r="65" spans="1:58" x14ac:dyDescent="0.2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3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X65">
        <v>6.19238</v>
      </c>
      <c r="BC65">
        <f t="shared" si="0"/>
        <v>0</v>
      </c>
      <c r="BD65">
        <f t="shared" si="1"/>
        <v>4</v>
      </c>
      <c r="BE65">
        <f t="shared" si="2"/>
        <v>0</v>
      </c>
      <c r="BF65">
        <f t="shared" si="3"/>
        <v>1</v>
      </c>
    </row>
    <row r="66" spans="1:58" x14ac:dyDescent="0.2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2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4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X66">
        <v>0.143234</v>
      </c>
      <c r="BC66">
        <f t="shared" si="0"/>
        <v>0</v>
      </c>
      <c r="BD66">
        <f t="shared" si="1"/>
        <v>0</v>
      </c>
      <c r="BE66">
        <f t="shared" si="2"/>
        <v>0</v>
      </c>
      <c r="BF66">
        <f t="shared" si="3"/>
        <v>9</v>
      </c>
    </row>
    <row r="67" spans="1:58" x14ac:dyDescent="0.2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X67">
        <v>0.21598999999999999</v>
      </c>
      <c r="BC67">
        <f t="shared" ref="BC67:BC107" si="4">SUM(B67,Z67,AA67,AB67,AC67)</f>
        <v>0</v>
      </c>
      <c r="BD67">
        <f t="shared" ref="BD67:BD107" si="5">SUM(O67:Y67)</f>
        <v>0</v>
      </c>
      <c r="BE67">
        <f t="shared" ref="BE67:BE107" si="6">SUM(C67:N67)</f>
        <v>0</v>
      </c>
      <c r="BF67">
        <f t="shared" ref="BF67:BF107" si="7">SUM(AD67:AV67)</f>
        <v>0</v>
      </c>
    </row>
    <row r="68" spans="1:58" x14ac:dyDescent="0.2">
      <c r="A68" t="s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</v>
      </c>
      <c r="T68">
        <v>0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0</v>
      </c>
      <c r="AG68">
        <v>0</v>
      </c>
      <c r="AH68">
        <v>1</v>
      </c>
      <c r="AI68">
        <v>2</v>
      </c>
      <c r="AJ68">
        <v>2</v>
      </c>
      <c r="AK68">
        <v>0</v>
      </c>
      <c r="AL68">
        <v>1</v>
      </c>
      <c r="AM68">
        <v>4</v>
      </c>
      <c r="AN68">
        <v>2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X68">
        <v>0.28175</v>
      </c>
      <c r="BC68">
        <f t="shared" si="4"/>
        <v>1</v>
      </c>
      <c r="BD68">
        <f t="shared" si="5"/>
        <v>4</v>
      </c>
      <c r="BE68">
        <f t="shared" si="6"/>
        <v>0</v>
      </c>
      <c r="BF68">
        <f t="shared" si="7"/>
        <v>15</v>
      </c>
    </row>
    <row r="69" spans="1:58" x14ac:dyDescent="0.2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X69">
        <v>0.46694999999999998</v>
      </c>
      <c r="BC69">
        <f t="shared" si="4"/>
        <v>0</v>
      </c>
      <c r="BD69">
        <f t="shared" si="5"/>
        <v>0</v>
      </c>
      <c r="BE69">
        <f t="shared" si="6"/>
        <v>0</v>
      </c>
      <c r="BF69">
        <f t="shared" si="7"/>
        <v>3</v>
      </c>
    </row>
    <row r="70" spans="1:58" x14ac:dyDescent="0.2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</v>
      </c>
      <c r="AI70">
        <v>0</v>
      </c>
      <c r="AJ70">
        <v>0</v>
      </c>
      <c r="AK70">
        <v>2</v>
      </c>
      <c r="AL70">
        <v>0</v>
      </c>
      <c r="AM70">
        <v>4</v>
      </c>
      <c r="AN70">
        <v>0</v>
      </c>
      <c r="AO70">
        <v>2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X70">
        <v>0.53684200000000004</v>
      </c>
      <c r="BC70">
        <f t="shared" si="4"/>
        <v>0</v>
      </c>
      <c r="BD70">
        <f t="shared" si="5"/>
        <v>0</v>
      </c>
      <c r="BE70">
        <f t="shared" si="6"/>
        <v>0</v>
      </c>
      <c r="BF70">
        <f t="shared" si="7"/>
        <v>12</v>
      </c>
    </row>
    <row r="71" spans="1:58" x14ac:dyDescent="0.2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X71">
        <v>0.45649800000000001</v>
      </c>
      <c r="BC71">
        <f t="shared" si="4"/>
        <v>0</v>
      </c>
      <c r="BD71">
        <f t="shared" si="5"/>
        <v>0</v>
      </c>
      <c r="BE71">
        <f t="shared" si="6"/>
        <v>0</v>
      </c>
      <c r="BF71">
        <f t="shared" si="7"/>
        <v>3</v>
      </c>
    </row>
    <row r="72" spans="1:58" x14ac:dyDescent="0.2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0</v>
      </c>
      <c r="AG72">
        <v>0</v>
      </c>
      <c r="AH72">
        <v>3</v>
      </c>
      <c r="AI72">
        <v>0</v>
      </c>
      <c r="AJ72">
        <v>1</v>
      </c>
      <c r="AK72">
        <v>0</v>
      </c>
      <c r="AL72">
        <v>0</v>
      </c>
      <c r="AM72">
        <v>3</v>
      </c>
      <c r="AN72">
        <v>0</v>
      </c>
      <c r="AO72">
        <v>0</v>
      </c>
      <c r="AP72">
        <v>0</v>
      </c>
      <c r="AQ72">
        <v>2</v>
      </c>
      <c r="AR72">
        <v>0</v>
      </c>
      <c r="AS72">
        <v>0</v>
      </c>
      <c r="AT72">
        <v>0</v>
      </c>
      <c r="AU72">
        <v>0</v>
      </c>
      <c r="AV72">
        <v>0</v>
      </c>
      <c r="AX72">
        <v>0.66738399999999998</v>
      </c>
      <c r="BC72">
        <f t="shared" si="4"/>
        <v>0</v>
      </c>
      <c r="BD72">
        <f t="shared" si="5"/>
        <v>1</v>
      </c>
      <c r="BE72">
        <f t="shared" si="6"/>
        <v>0</v>
      </c>
      <c r="BF72">
        <f t="shared" si="7"/>
        <v>11</v>
      </c>
    </row>
    <row r="73" spans="1:58" x14ac:dyDescent="0.2">
      <c r="A73" t="s">
        <v>71</v>
      </c>
      <c r="B73">
        <v>0</v>
      </c>
      <c r="C73">
        <v>2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1</v>
      </c>
      <c r="AL73">
        <v>0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X73">
        <v>0.30608999999999997</v>
      </c>
      <c r="BC73">
        <f t="shared" si="4"/>
        <v>0</v>
      </c>
      <c r="BD73">
        <f t="shared" si="5"/>
        <v>0</v>
      </c>
      <c r="BE73">
        <f t="shared" si="6"/>
        <v>3</v>
      </c>
      <c r="BF73">
        <f t="shared" si="7"/>
        <v>7</v>
      </c>
    </row>
    <row r="74" spans="1:58" x14ac:dyDescent="0.2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1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X74">
        <v>0.72637200000000002</v>
      </c>
      <c r="BC74">
        <f t="shared" si="4"/>
        <v>0</v>
      </c>
      <c r="BD74">
        <f t="shared" si="5"/>
        <v>5</v>
      </c>
      <c r="BE74">
        <f t="shared" si="6"/>
        <v>0</v>
      </c>
      <c r="BF74">
        <f t="shared" si="7"/>
        <v>7</v>
      </c>
    </row>
    <row r="75" spans="1:58" x14ac:dyDescent="0.2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X75">
        <v>0.76888699999999999</v>
      </c>
      <c r="BC75">
        <f t="shared" si="4"/>
        <v>0</v>
      </c>
      <c r="BD75">
        <f t="shared" si="5"/>
        <v>1</v>
      </c>
      <c r="BE75">
        <f t="shared" si="6"/>
        <v>0</v>
      </c>
      <c r="BF75">
        <f t="shared" si="7"/>
        <v>0</v>
      </c>
    </row>
    <row r="76" spans="1:58" x14ac:dyDescent="0.2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X76">
        <v>1.0479799999999999</v>
      </c>
      <c r="BC76">
        <f t="shared" si="4"/>
        <v>0</v>
      </c>
      <c r="BD76">
        <f t="shared" si="5"/>
        <v>1</v>
      </c>
      <c r="BE76">
        <f t="shared" si="6"/>
        <v>0</v>
      </c>
      <c r="BF76">
        <f t="shared" si="7"/>
        <v>1</v>
      </c>
    </row>
    <row r="77" spans="1:58" x14ac:dyDescent="0.2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X77">
        <v>0.41247299999999998</v>
      </c>
      <c r="BC77">
        <f t="shared" si="4"/>
        <v>0</v>
      </c>
      <c r="BD77">
        <f t="shared" si="5"/>
        <v>0</v>
      </c>
      <c r="BE77">
        <f t="shared" si="6"/>
        <v>0</v>
      </c>
      <c r="BF77">
        <f t="shared" si="7"/>
        <v>2</v>
      </c>
    </row>
    <row r="78" spans="1:58" x14ac:dyDescent="0.2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</v>
      </c>
      <c r="AF78">
        <v>0</v>
      </c>
      <c r="AG78">
        <v>0</v>
      </c>
      <c r="AH78">
        <v>1</v>
      </c>
      <c r="AI78">
        <v>1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X78">
        <v>1.0708500000000001</v>
      </c>
      <c r="BC78">
        <f t="shared" si="4"/>
        <v>0</v>
      </c>
      <c r="BD78">
        <f t="shared" si="5"/>
        <v>0</v>
      </c>
      <c r="BE78">
        <f t="shared" si="6"/>
        <v>0</v>
      </c>
      <c r="BF78">
        <f t="shared" si="7"/>
        <v>6</v>
      </c>
    </row>
    <row r="79" spans="1:58" x14ac:dyDescent="0.2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X79">
        <v>0.83330800000000005</v>
      </c>
      <c r="BC79">
        <f t="shared" si="4"/>
        <v>0</v>
      </c>
      <c r="BD79">
        <f t="shared" si="5"/>
        <v>3</v>
      </c>
      <c r="BE79">
        <f t="shared" si="6"/>
        <v>0</v>
      </c>
      <c r="BF79">
        <f t="shared" si="7"/>
        <v>3</v>
      </c>
    </row>
    <row r="80" spans="1:58" x14ac:dyDescent="0.2">
      <c r="A80" t="s">
        <v>78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X80">
        <v>0.882938</v>
      </c>
      <c r="BC80">
        <f t="shared" si="4"/>
        <v>0</v>
      </c>
      <c r="BD80">
        <f t="shared" si="5"/>
        <v>1</v>
      </c>
      <c r="BE80">
        <f t="shared" si="6"/>
        <v>1</v>
      </c>
      <c r="BF80">
        <f t="shared" si="7"/>
        <v>4</v>
      </c>
    </row>
    <row r="81" spans="1:58" x14ac:dyDescent="0.2">
      <c r="A81" t="s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X81">
        <v>0.525115</v>
      </c>
      <c r="BC81">
        <f t="shared" si="4"/>
        <v>1</v>
      </c>
      <c r="BD81">
        <f t="shared" si="5"/>
        <v>0</v>
      </c>
      <c r="BE81">
        <f t="shared" si="6"/>
        <v>0</v>
      </c>
      <c r="BF81">
        <f t="shared" si="7"/>
        <v>0</v>
      </c>
    </row>
    <row r="82" spans="1:58" x14ac:dyDescent="0.2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X82">
        <v>0.82867000000000002</v>
      </c>
      <c r="BC82">
        <f t="shared" si="4"/>
        <v>0</v>
      </c>
      <c r="BD82">
        <f t="shared" si="5"/>
        <v>1</v>
      </c>
      <c r="BE82">
        <f t="shared" si="6"/>
        <v>0</v>
      </c>
      <c r="BF82">
        <f t="shared" si="7"/>
        <v>0</v>
      </c>
    </row>
    <row r="83" spans="1:58" x14ac:dyDescent="0.2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X83">
        <v>1.15567</v>
      </c>
      <c r="BC83">
        <f t="shared" si="4"/>
        <v>0</v>
      </c>
      <c r="BD83">
        <f t="shared" si="5"/>
        <v>0</v>
      </c>
      <c r="BE83">
        <f t="shared" si="6"/>
        <v>0</v>
      </c>
      <c r="BF83">
        <f t="shared" si="7"/>
        <v>2</v>
      </c>
    </row>
    <row r="84" spans="1:58" x14ac:dyDescent="0.2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X84">
        <v>1.03562</v>
      </c>
      <c r="BC84">
        <f t="shared" si="4"/>
        <v>0</v>
      </c>
      <c r="BD84">
        <f t="shared" si="5"/>
        <v>0</v>
      </c>
      <c r="BE84">
        <f t="shared" si="6"/>
        <v>0</v>
      </c>
      <c r="BF84">
        <f t="shared" si="7"/>
        <v>2</v>
      </c>
    </row>
    <row r="85" spans="1:58" x14ac:dyDescent="0.2">
      <c r="A85" t="s">
        <v>83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2</v>
      </c>
      <c r="AM85">
        <v>3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X85">
        <v>1.16978</v>
      </c>
      <c r="BC85">
        <f t="shared" si="4"/>
        <v>0</v>
      </c>
      <c r="BD85">
        <f t="shared" si="5"/>
        <v>0</v>
      </c>
      <c r="BE85">
        <f t="shared" si="6"/>
        <v>1</v>
      </c>
      <c r="BF85">
        <f t="shared" si="7"/>
        <v>8</v>
      </c>
    </row>
    <row r="86" spans="1:58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X86">
        <v>0.84552799999999995</v>
      </c>
      <c r="BC86">
        <f t="shared" si="4"/>
        <v>0</v>
      </c>
      <c r="BD86">
        <f t="shared" si="5"/>
        <v>0</v>
      </c>
      <c r="BE86">
        <f t="shared" si="6"/>
        <v>0</v>
      </c>
      <c r="BF86">
        <f t="shared" si="7"/>
        <v>0</v>
      </c>
    </row>
    <row r="87" spans="1:58" x14ac:dyDescent="0.2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X87">
        <v>1.2179899999999999</v>
      </c>
      <c r="BC87">
        <f t="shared" si="4"/>
        <v>0</v>
      </c>
      <c r="BD87">
        <f t="shared" si="5"/>
        <v>0</v>
      </c>
      <c r="BE87">
        <f t="shared" si="6"/>
        <v>0</v>
      </c>
      <c r="BF87">
        <f t="shared" si="7"/>
        <v>3</v>
      </c>
    </row>
    <row r="88" spans="1:58" x14ac:dyDescent="0.2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X88">
        <v>1.35422</v>
      </c>
      <c r="BC88">
        <f t="shared" si="4"/>
        <v>0</v>
      </c>
      <c r="BD88">
        <f t="shared" si="5"/>
        <v>0</v>
      </c>
      <c r="BE88">
        <f t="shared" si="6"/>
        <v>0</v>
      </c>
      <c r="BF88">
        <f t="shared" si="7"/>
        <v>1</v>
      </c>
    </row>
    <row r="89" spans="1:58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X89">
        <v>0.783362</v>
      </c>
      <c r="BC89">
        <f t="shared" si="4"/>
        <v>0</v>
      </c>
      <c r="BD89">
        <f t="shared" si="5"/>
        <v>0</v>
      </c>
      <c r="BE89">
        <f t="shared" si="6"/>
        <v>0</v>
      </c>
      <c r="BF89">
        <f t="shared" si="7"/>
        <v>0</v>
      </c>
    </row>
    <row r="90" spans="1:58" x14ac:dyDescent="0.2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X90">
        <v>4.3668899999999997</v>
      </c>
      <c r="BC90">
        <f t="shared" si="4"/>
        <v>0</v>
      </c>
      <c r="BD90">
        <f t="shared" si="5"/>
        <v>0</v>
      </c>
      <c r="BE90">
        <f t="shared" si="6"/>
        <v>0</v>
      </c>
      <c r="BF90">
        <f t="shared" si="7"/>
        <v>0</v>
      </c>
    </row>
    <row r="91" spans="1:58" x14ac:dyDescent="0.2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</v>
      </c>
      <c r="AB91">
        <v>0</v>
      </c>
      <c r="AC91">
        <v>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X91">
        <v>4.3668899999999997</v>
      </c>
      <c r="BC91">
        <f t="shared" si="4"/>
        <v>5</v>
      </c>
      <c r="BD91">
        <f t="shared" si="5"/>
        <v>0</v>
      </c>
      <c r="BE91">
        <f t="shared" si="6"/>
        <v>0</v>
      </c>
      <c r="BF91">
        <f t="shared" si="7"/>
        <v>0</v>
      </c>
    </row>
    <row r="92" spans="1:58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X92">
        <v>2.6670099999999999</v>
      </c>
      <c r="BC92">
        <f t="shared" si="4"/>
        <v>0</v>
      </c>
      <c r="BD92">
        <f t="shared" si="5"/>
        <v>0</v>
      </c>
      <c r="BE92">
        <f t="shared" si="6"/>
        <v>0</v>
      </c>
      <c r="BF92">
        <f t="shared" si="7"/>
        <v>0</v>
      </c>
    </row>
    <row r="93" spans="1:58" x14ac:dyDescent="0.2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X93">
        <v>5.5743299999999998</v>
      </c>
      <c r="BC93">
        <f t="shared" si="4"/>
        <v>0</v>
      </c>
      <c r="BD93">
        <f t="shared" si="5"/>
        <v>0</v>
      </c>
      <c r="BE93">
        <f t="shared" si="6"/>
        <v>0</v>
      </c>
      <c r="BF93">
        <f t="shared" si="7"/>
        <v>1</v>
      </c>
    </row>
    <row r="94" spans="1:58" x14ac:dyDescent="0.2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X94">
        <v>5.9301599999999999</v>
      </c>
      <c r="BC94">
        <f t="shared" si="4"/>
        <v>0</v>
      </c>
      <c r="BD94">
        <f t="shared" si="5"/>
        <v>0</v>
      </c>
      <c r="BE94">
        <f t="shared" si="6"/>
        <v>0</v>
      </c>
      <c r="BF94">
        <f t="shared" si="7"/>
        <v>0</v>
      </c>
    </row>
    <row r="95" spans="1:58" x14ac:dyDescent="0.2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X95">
        <v>5.8183800000000003</v>
      </c>
      <c r="BC95">
        <f t="shared" si="4"/>
        <v>0</v>
      </c>
      <c r="BD95">
        <f t="shared" si="5"/>
        <v>2</v>
      </c>
      <c r="BE95">
        <f t="shared" si="6"/>
        <v>1</v>
      </c>
      <c r="BF95">
        <f t="shared" si="7"/>
        <v>2</v>
      </c>
    </row>
    <row r="96" spans="1:58" x14ac:dyDescent="0.2">
      <c r="A96" t="s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X96">
        <v>1.4137999999999999</v>
      </c>
      <c r="BC96">
        <f t="shared" si="4"/>
        <v>1</v>
      </c>
      <c r="BD96">
        <f t="shared" si="5"/>
        <v>0</v>
      </c>
      <c r="BE96">
        <f t="shared" si="6"/>
        <v>0</v>
      </c>
      <c r="BF96">
        <f t="shared" si="7"/>
        <v>4</v>
      </c>
    </row>
    <row r="97" spans="1:58" x14ac:dyDescent="0.2">
      <c r="A97" t="s">
        <v>95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X97">
        <v>1.4862299999999999</v>
      </c>
      <c r="BC97">
        <f t="shared" si="4"/>
        <v>0</v>
      </c>
      <c r="BD97">
        <f t="shared" si="5"/>
        <v>0</v>
      </c>
      <c r="BE97">
        <f t="shared" si="6"/>
        <v>2</v>
      </c>
      <c r="BF97">
        <f t="shared" si="7"/>
        <v>0</v>
      </c>
    </row>
    <row r="98" spans="1:58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X98">
        <v>4.2944100000000001</v>
      </c>
      <c r="BC98">
        <f t="shared" si="4"/>
        <v>3</v>
      </c>
      <c r="BD98">
        <f t="shared" si="5"/>
        <v>0</v>
      </c>
      <c r="BE98">
        <f t="shared" si="6"/>
        <v>0</v>
      </c>
      <c r="BF98">
        <f t="shared" si="7"/>
        <v>0</v>
      </c>
    </row>
    <row r="99" spans="1:58" x14ac:dyDescent="0.2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X99">
        <v>0.30397999999999997</v>
      </c>
      <c r="BC99">
        <f t="shared" si="4"/>
        <v>0</v>
      </c>
      <c r="BD99">
        <f t="shared" si="5"/>
        <v>0</v>
      </c>
      <c r="BE99">
        <f t="shared" si="6"/>
        <v>0</v>
      </c>
      <c r="BF99">
        <f t="shared" si="7"/>
        <v>0</v>
      </c>
    </row>
    <row r="100" spans="1:58" x14ac:dyDescent="0.2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</v>
      </c>
      <c r="AF100">
        <v>0</v>
      </c>
      <c r="AG100">
        <v>0</v>
      </c>
      <c r="AH100">
        <v>1</v>
      </c>
      <c r="AI100">
        <v>0</v>
      </c>
      <c r="AJ100">
        <v>1</v>
      </c>
      <c r="AK100">
        <v>2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X100">
        <v>0.61260199999999998</v>
      </c>
      <c r="BC100">
        <f t="shared" si="4"/>
        <v>0</v>
      </c>
      <c r="BD100">
        <f t="shared" si="5"/>
        <v>0</v>
      </c>
      <c r="BE100">
        <f t="shared" si="6"/>
        <v>0</v>
      </c>
      <c r="BF100">
        <f t="shared" si="7"/>
        <v>9</v>
      </c>
    </row>
    <row r="101" spans="1:58" x14ac:dyDescent="0.2">
      <c r="A101" t="s">
        <v>99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1</v>
      </c>
      <c r="AL101">
        <v>2</v>
      </c>
      <c r="AM101">
        <v>3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X101">
        <v>0.892903</v>
      </c>
      <c r="BC101">
        <f t="shared" si="4"/>
        <v>0</v>
      </c>
      <c r="BD101">
        <f t="shared" si="5"/>
        <v>4</v>
      </c>
      <c r="BE101">
        <f t="shared" si="6"/>
        <v>1</v>
      </c>
      <c r="BF101">
        <f t="shared" si="7"/>
        <v>7</v>
      </c>
    </row>
    <row r="102" spans="1:58" x14ac:dyDescent="0.2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X102">
        <v>6.0082599999999999</v>
      </c>
      <c r="BC102">
        <f t="shared" si="4"/>
        <v>0</v>
      </c>
      <c r="BD102">
        <f t="shared" si="5"/>
        <v>0</v>
      </c>
      <c r="BE102">
        <f t="shared" si="6"/>
        <v>0</v>
      </c>
      <c r="BF102">
        <f t="shared" si="7"/>
        <v>2</v>
      </c>
    </row>
    <row r="103" spans="1:58" x14ac:dyDescent="0.2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</v>
      </c>
      <c r="AE103">
        <v>0</v>
      </c>
      <c r="AF103">
        <v>3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X103">
        <v>0.45649800000000001</v>
      </c>
      <c r="BC103">
        <f t="shared" si="4"/>
        <v>0</v>
      </c>
      <c r="BD103">
        <f t="shared" si="5"/>
        <v>0</v>
      </c>
      <c r="BE103">
        <f t="shared" si="6"/>
        <v>0</v>
      </c>
      <c r="BF103">
        <f t="shared" si="7"/>
        <v>5</v>
      </c>
    </row>
    <row r="104" spans="1:58" x14ac:dyDescent="0.2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X104">
        <v>0.45649800000000001</v>
      </c>
      <c r="BC104">
        <f t="shared" si="4"/>
        <v>0</v>
      </c>
      <c r="BD104">
        <f t="shared" si="5"/>
        <v>1</v>
      </c>
      <c r="BE104">
        <f t="shared" si="6"/>
        <v>0</v>
      </c>
      <c r="BF104">
        <f t="shared" si="7"/>
        <v>3</v>
      </c>
    </row>
    <row r="105" spans="1:58" x14ac:dyDescent="0.2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2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X105">
        <v>1.5249999999999999</v>
      </c>
      <c r="BC105">
        <f t="shared" si="4"/>
        <v>0</v>
      </c>
      <c r="BD105">
        <f t="shared" si="5"/>
        <v>2</v>
      </c>
      <c r="BE105">
        <f t="shared" si="6"/>
        <v>1</v>
      </c>
      <c r="BF105">
        <f t="shared" si="7"/>
        <v>4</v>
      </c>
    </row>
    <row r="106" spans="1:58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X106">
        <v>1.4436</v>
      </c>
      <c r="BC106">
        <f t="shared" si="4"/>
        <v>0</v>
      </c>
      <c r="BD106">
        <f t="shared" si="5"/>
        <v>0</v>
      </c>
      <c r="BE106">
        <f t="shared" si="6"/>
        <v>0</v>
      </c>
      <c r="BF106">
        <f t="shared" si="7"/>
        <v>0</v>
      </c>
    </row>
    <row r="107" spans="1:58" x14ac:dyDescent="0.2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X107">
        <v>1.4204699999999999</v>
      </c>
      <c r="BC107">
        <f t="shared" si="4"/>
        <v>0</v>
      </c>
      <c r="BD107">
        <f t="shared" si="5"/>
        <v>0</v>
      </c>
      <c r="BE107">
        <f t="shared" si="6"/>
        <v>0</v>
      </c>
      <c r="BF107">
        <f t="shared" si="7"/>
        <v>0</v>
      </c>
    </row>
    <row r="110" spans="1:58" s="2" customFormat="1" x14ac:dyDescent="0.2">
      <c r="A110" s="2" t="s">
        <v>149</v>
      </c>
      <c r="B110" s="2">
        <f>SUM(B2:B107)</f>
        <v>52</v>
      </c>
      <c r="C110" s="2">
        <f t="shared" ref="C110:AR110" si="8">SUM(C2:C107)</f>
        <v>14</v>
      </c>
      <c r="D110" s="2">
        <f t="shared" si="8"/>
        <v>12</v>
      </c>
      <c r="E110" s="2">
        <f t="shared" si="8"/>
        <v>11</v>
      </c>
      <c r="F110" s="2">
        <f t="shared" si="8"/>
        <v>10</v>
      </c>
      <c r="G110" s="2">
        <f t="shared" si="8"/>
        <v>14</v>
      </c>
      <c r="H110" s="2">
        <f t="shared" si="8"/>
        <v>3</v>
      </c>
      <c r="I110" s="2">
        <f t="shared" si="8"/>
        <v>6</v>
      </c>
      <c r="J110" s="2">
        <f t="shared" si="8"/>
        <v>5</v>
      </c>
      <c r="K110" s="2">
        <f t="shared" si="8"/>
        <v>5</v>
      </c>
      <c r="L110" s="2">
        <f t="shared" si="8"/>
        <v>3</v>
      </c>
      <c r="M110" s="2">
        <f t="shared" si="8"/>
        <v>3</v>
      </c>
      <c r="N110" s="2">
        <f t="shared" si="8"/>
        <v>2</v>
      </c>
      <c r="O110" s="2">
        <f t="shared" si="8"/>
        <v>19</v>
      </c>
      <c r="P110" s="2">
        <f t="shared" si="8"/>
        <v>19</v>
      </c>
      <c r="Q110" s="2">
        <f t="shared" si="8"/>
        <v>12</v>
      </c>
      <c r="R110" s="2">
        <f t="shared" si="8"/>
        <v>7</v>
      </c>
      <c r="S110" s="2">
        <f t="shared" si="8"/>
        <v>13</v>
      </c>
      <c r="T110" s="2">
        <f t="shared" si="8"/>
        <v>3</v>
      </c>
      <c r="U110" s="2">
        <f t="shared" si="8"/>
        <v>10</v>
      </c>
      <c r="V110" s="2">
        <f t="shared" si="8"/>
        <v>8</v>
      </c>
      <c r="W110" s="2">
        <f t="shared" si="8"/>
        <v>3</v>
      </c>
      <c r="X110" s="2">
        <f t="shared" si="8"/>
        <v>7</v>
      </c>
      <c r="Y110" s="2">
        <f t="shared" si="8"/>
        <v>3</v>
      </c>
      <c r="Z110" s="2">
        <f t="shared" si="8"/>
        <v>6</v>
      </c>
      <c r="AA110" s="2">
        <f t="shared" si="8"/>
        <v>7</v>
      </c>
      <c r="AB110" s="2">
        <f t="shared" si="8"/>
        <v>2</v>
      </c>
      <c r="AC110" s="2">
        <f t="shared" si="8"/>
        <v>14</v>
      </c>
      <c r="AD110" s="2">
        <f t="shared" si="8"/>
        <v>23</v>
      </c>
      <c r="AE110" s="2">
        <f t="shared" si="8"/>
        <v>25</v>
      </c>
      <c r="AF110" s="2">
        <f t="shared" si="8"/>
        <v>37</v>
      </c>
      <c r="AG110" s="2">
        <f t="shared" si="8"/>
        <v>9</v>
      </c>
      <c r="AH110" s="2">
        <f t="shared" si="8"/>
        <v>18</v>
      </c>
      <c r="AI110" s="2">
        <f t="shared" si="8"/>
        <v>8</v>
      </c>
      <c r="AJ110" s="2">
        <f t="shared" si="8"/>
        <v>21</v>
      </c>
      <c r="AK110" s="2">
        <f t="shared" si="8"/>
        <v>12</v>
      </c>
      <c r="AL110" s="2">
        <f t="shared" si="8"/>
        <v>31</v>
      </c>
      <c r="AM110" s="2">
        <f t="shared" si="8"/>
        <v>43</v>
      </c>
      <c r="AN110" s="2">
        <f t="shared" si="8"/>
        <v>8</v>
      </c>
      <c r="AO110" s="2">
        <f t="shared" si="8"/>
        <v>4</v>
      </c>
      <c r="AP110" s="2">
        <f t="shared" si="8"/>
        <v>7</v>
      </c>
      <c r="AQ110" s="2">
        <f t="shared" si="8"/>
        <v>32</v>
      </c>
      <c r="AR110" s="2">
        <f t="shared" si="8"/>
        <v>19</v>
      </c>
      <c r="AS110" s="2">
        <f t="shared" ref="AS110:AV110" si="9">SUM(AS2:AS107)</f>
        <v>3</v>
      </c>
      <c r="AT110" s="2">
        <f t="shared" si="9"/>
        <v>3</v>
      </c>
      <c r="AU110" s="2">
        <f t="shared" si="9"/>
        <v>2</v>
      </c>
      <c r="AV110" s="2">
        <f t="shared" si="9"/>
        <v>2</v>
      </c>
    </row>
    <row r="111" spans="1:58" s="2" customFormat="1" x14ac:dyDescent="0.2">
      <c r="A111" s="2" t="s">
        <v>150</v>
      </c>
      <c r="B111" s="2">
        <f>COUNTIF(B2:B107,"&gt;0")</f>
        <v>18</v>
      </c>
      <c r="C111" s="2">
        <f t="shared" ref="C111:AR111" si="10">COUNTIF(C2:C107,"&gt;0")</f>
        <v>9</v>
      </c>
      <c r="D111" s="2">
        <f t="shared" si="10"/>
        <v>6</v>
      </c>
      <c r="E111" s="2">
        <f t="shared" si="10"/>
        <v>7</v>
      </c>
      <c r="F111" s="2">
        <f t="shared" si="10"/>
        <v>5</v>
      </c>
      <c r="G111" s="2">
        <f t="shared" si="10"/>
        <v>6</v>
      </c>
      <c r="H111" s="2">
        <f t="shared" si="10"/>
        <v>2</v>
      </c>
      <c r="I111" s="2">
        <f t="shared" si="10"/>
        <v>3</v>
      </c>
      <c r="J111" s="2">
        <f t="shared" si="10"/>
        <v>4</v>
      </c>
      <c r="K111" s="2">
        <f t="shared" si="10"/>
        <v>3</v>
      </c>
      <c r="L111" s="2">
        <f t="shared" si="10"/>
        <v>1</v>
      </c>
      <c r="M111" s="2">
        <f t="shared" si="10"/>
        <v>2</v>
      </c>
      <c r="N111" s="2">
        <f t="shared" si="10"/>
        <v>1</v>
      </c>
      <c r="O111" s="2">
        <f t="shared" si="10"/>
        <v>12</v>
      </c>
      <c r="P111" s="2">
        <f t="shared" si="10"/>
        <v>10</v>
      </c>
      <c r="Q111" s="2">
        <f t="shared" si="10"/>
        <v>7</v>
      </c>
      <c r="R111" s="2">
        <f t="shared" si="10"/>
        <v>4</v>
      </c>
      <c r="S111" s="2">
        <f t="shared" si="10"/>
        <v>10</v>
      </c>
      <c r="T111" s="2">
        <f t="shared" si="10"/>
        <v>3</v>
      </c>
      <c r="U111" s="2">
        <f t="shared" si="10"/>
        <v>7</v>
      </c>
      <c r="V111" s="2">
        <f t="shared" si="10"/>
        <v>4</v>
      </c>
      <c r="W111" s="2">
        <f t="shared" si="10"/>
        <v>2</v>
      </c>
      <c r="X111" s="2">
        <f t="shared" si="10"/>
        <v>4</v>
      </c>
      <c r="Y111" s="2">
        <f t="shared" si="10"/>
        <v>3</v>
      </c>
      <c r="Z111" s="2">
        <f t="shared" si="10"/>
        <v>3</v>
      </c>
      <c r="AA111" s="2">
        <f t="shared" si="10"/>
        <v>4</v>
      </c>
      <c r="AB111" s="2">
        <f t="shared" si="10"/>
        <v>1</v>
      </c>
      <c r="AC111" s="2">
        <f t="shared" si="10"/>
        <v>5</v>
      </c>
      <c r="AD111" s="2">
        <f t="shared" si="10"/>
        <v>17</v>
      </c>
      <c r="AE111" s="2">
        <f t="shared" si="10"/>
        <v>17</v>
      </c>
      <c r="AF111" s="2">
        <f t="shared" si="10"/>
        <v>23</v>
      </c>
      <c r="AG111" s="2">
        <f t="shared" si="10"/>
        <v>7</v>
      </c>
      <c r="AH111" s="2">
        <f t="shared" si="10"/>
        <v>12</v>
      </c>
      <c r="AI111" s="2">
        <f t="shared" si="10"/>
        <v>6</v>
      </c>
      <c r="AJ111" s="2">
        <f t="shared" si="10"/>
        <v>14</v>
      </c>
      <c r="AK111" s="2">
        <f t="shared" si="10"/>
        <v>10</v>
      </c>
      <c r="AL111" s="2">
        <f t="shared" si="10"/>
        <v>18</v>
      </c>
      <c r="AM111" s="2">
        <f t="shared" si="10"/>
        <v>20</v>
      </c>
      <c r="AN111" s="2">
        <f t="shared" si="10"/>
        <v>6</v>
      </c>
      <c r="AO111" s="2">
        <f t="shared" si="10"/>
        <v>3</v>
      </c>
      <c r="AP111" s="2">
        <f t="shared" si="10"/>
        <v>4</v>
      </c>
      <c r="AQ111" s="2">
        <f t="shared" si="10"/>
        <v>14</v>
      </c>
      <c r="AR111" s="2">
        <f t="shared" si="10"/>
        <v>8</v>
      </c>
      <c r="AS111" s="2">
        <f t="shared" ref="AS111:AV111" si="11">COUNTIF(AS2:AS107,"&gt;0")</f>
        <v>2</v>
      </c>
      <c r="AT111" s="2">
        <f t="shared" si="11"/>
        <v>2</v>
      </c>
      <c r="AU111" s="2">
        <f t="shared" si="11"/>
        <v>2</v>
      </c>
      <c r="AV111" s="2">
        <f t="shared" si="11"/>
        <v>1</v>
      </c>
    </row>
  </sheetData>
  <conditionalFormatting sqref="B2:AR107">
    <cfRule type="colorScale" priority="4">
      <colorScale>
        <cfvo type="min"/>
        <cfvo type="max"/>
        <color rgb="FFFCFCFF"/>
        <color rgb="FF63BE7B"/>
      </colorScale>
    </cfRule>
  </conditionalFormatting>
  <conditionalFormatting sqref="B2:AV107">
    <cfRule type="colorScale" priority="2">
      <colorScale>
        <cfvo type="min"/>
        <cfvo type="max"/>
        <color rgb="FFFCFCFF"/>
        <color rgb="FF63BE7B"/>
      </colorScale>
    </cfRule>
  </conditionalFormatting>
  <conditionalFormatting sqref="BC2:BF107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Sheet1!Aff_to_targets_Mar2022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2022-03-01T13:46:38Z</dcterms:created>
  <dcterms:modified xsi:type="dcterms:W3CDTF">2022-06-02T21:53:31Z</dcterms:modified>
</cp:coreProperties>
</file>